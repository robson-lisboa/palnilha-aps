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isbo\OneDrive\Documents\"/>
    </mc:Choice>
  </mc:AlternateContent>
  <xr:revisionPtr revIDLastSave="0" documentId="8_{253F04CD-7F3D-4543-8AFB-EE0CCBBD396C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00_Dashboard" sheetId="1" r:id="rId1"/>
    <sheet name="1_Planejamento" sheetId="2" r:id="rId2"/>
    <sheet name="02_Operacoes" sheetId="3" r:id="rId3"/>
    <sheet name="SAP" sheetId="9" r:id="rId4"/>
  </sheets>
  <functionGroups builtInGroupCount="19"/>
  <definedNames>
    <definedName name="APS_CFG_CAL_EXC_1" hidden="1">""</definedName>
    <definedName name="APS_CFG_CAL_PAR_1" hidden="1">""</definedName>
    <definedName name="APS_CFG_CAL_SEM_1" hidden="1">"1;S;00:00;00:00|2;S;00:00;00:00|3;S;00:00;00:00|4;S;00:00;00:00|5;S;00:00;00:00|6;S;00:00;22:00|7;S;06:00;22:00"</definedName>
    <definedName name="APS_CFG_OEE_PADRAO_1" hidden="1">"100"</definedName>
    <definedName name="APS_CFG_PROXID_1" hidden="1">"20"</definedName>
    <definedName name="APS_CFG_STAUTO_1" hidden="1">"2|A|66681240|66682180;-2|C|66681120|66681240"</definedName>
  </definedNames>
  <calcPr calcId="191029"/>
</workbook>
</file>

<file path=xl/calcChain.xml><?xml version="1.0" encoding="utf-8"?>
<calcChain xmlns="http://schemas.openxmlformats.org/spreadsheetml/2006/main">
  <c r="K4" i="1" l="1"/>
  <c r="I4" i="1"/>
  <c r="G4" i="1"/>
  <c r="E4" i="1"/>
  <c r="C4" i="1"/>
  <c r="A4" i="1"/>
  <c r="M4" i="1"/>
</calcChain>
</file>

<file path=xl/sharedStrings.xml><?xml version="1.0" encoding="utf-8"?>
<sst xmlns="http://schemas.openxmlformats.org/spreadsheetml/2006/main" count="1593" uniqueCount="75">
  <si>
    <t>APS | PAINEL EXECUTIVO DE PRODUÇÃO</t>
  </si>
  <si>
    <t>Total de OPs</t>
  </si>
  <si>
    <t>Planejadas</t>
  </si>
  <si>
    <t>Em Andamento</t>
  </si>
  <si>
    <t>Concluídas</t>
  </si>
  <si>
    <t>Atrasadas</t>
  </si>
  <si>
    <t>Horas Totais</t>
  </si>
  <si>
    <t>Ocupação Média</t>
  </si>
  <si>
    <t>Área / Máquina</t>
  </si>
  <si>
    <t>▼</t>
  </si>
  <si>
    <t>HORA</t>
  </si>
  <si>
    <t>00h</t>
  </si>
  <si>
    <t>01h</t>
  </si>
  <si>
    <t>02h</t>
  </si>
  <si>
    <t>03h</t>
  </si>
  <si>
    <t>04h</t>
  </si>
  <si>
    <t>05h</t>
  </si>
  <si>
    <t>06h</t>
  </si>
  <si>
    <t>07h</t>
  </si>
  <si>
    <t>08h</t>
  </si>
  <si>
    <t>09h</t>
  </si>
  <si>
    <t>10h</t>
  </si>
  <si>
    <t>11h</t>
  </si>
  <si>
    <t>12h</t>
  </si>
  <si>
    <t>13h</t>
  </si>
  <si>
    <t>14h</t>
  </si>
  <si>
    <t>15h</t>
  </si>
  <si>
    <t>16h</t>
  </si>
  <si>
    <t>17h</t>
  </si>
  <si>
    <t>18h</t>
  </si>
  <si>
    <t>19h</t>
  </si>
  <si>
    <t>20h</t>
  </si>
  <si>
    <t>21h</t>
  </si>
  <si>
    <t>22h</t>
  </si>
  <si>
    <t>23h</t>
  </si>
  <si>
    <t>SALA DE MISTURA</t>
  </si>
  <si>
    <t>FETTE 2090</t>
  </si>
  <si>
    <t>FETTE 2</t>
  </si>
  <si>
    <t>MEDISEAL</t>
  </si>
  <si>
    <t>BLISTERFLEX</t>
  </si>
  <si>
    <t>GRANULAÇÃO</t>
  </si>
  <si>
    <t>Produto</t>
  </si>
  <si>
    <t>Lote</t>
  </si>
  <si>
    <t>Máquina</t>
  </si>
  <si>
    <t>OEE</t>
  </si>
  <si>
    <t>Código do Produto</t>
  </si>
  <si>
    <t>Data de Início</t>
  </si>
  <si>
    <t>Data de Fim</t>
  </si>
  <si>
    <t>Planejamento</t>
  </si>
  <si>
    <t>Observações</t>
  </si>
  <si>
    <t>Quantidade de Caixas</t>
  </si>
  <si>
    <t>Duração</t>
  </si>
  <si>
    <t>ID</t>
  </si>
  <si>
    <t>Velocidade-base</t>
  </si>
  <si>
    <t xml:space="preserve">       PLANEJAMENTO </t>
  </si>
  <si>
    <t>Mês do planejamento (1_Planejamento!A1): (não definido - preencha 1_Planejamento!A1)</t>
  </si>
  <si>
    <t>Ordem SAP</t>
  </si>
  <si>
    <t>Hora de Início</t>
  </si>
  <si>
    <t>Duração (hh:mm)</t>
  </si>
  <si>
    <t>Qtd. Caixas</t>
  </si>
  <si>
    <t>OEE (%)</t>
  </si>
  <si>
    <t>Situação</t>
  </si>
  <si>
    <t>Prévia - operação</t>
  </si>
  <si>
    <t>Antes</t>
  </si>
  <si>
    <t>Depois</t>
  </si>
  <si>
    <t>Motivo</t>
  </si>
  <si>
    <t xml:space="preserve">                                                                        SAP - ORDENS PARA ORGANIZAR</t>
  </si>
  <si>
    <t>OP</t>
  </si>
  <si>
    <t>Setup</t>
  </si>
  <si>
    <t>906666</t>
  </si>
  <si>
    <t>Puran T4 62,5 mcg</t>
  </si>
  <si>
    <t>558855</t>
  </si>
  <si>
    <t>Mediseal</t>
  </si>
  <si>
    <t>0468</t>
  </si>
  <si>
    <t>Atraso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</si>
</sst>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[h]:mm"/>
    <numFmt numFmtId="166" formatCode="dd/mm/yyyy\ ddd"/>
    <numFmt numFmtId="167" formatCode="&quot;       PLANEJAMENTO &quot;\_x000a_&quot;Mês: &quot;mmmm/yyyy"/>
    <numFmt numFmtId="168" formatCode="0.0"/>
    <numFmt numFmtId="169" formatCode="dd/mm/yyyy\ hh:mm"/>
  </numFmts>
  <fonts count="18" x14ac:knownFonts="1">
    <font>
      <sz val="11"/>
      <color theme="1"/>
      <name val="Calibri"/>
      <family val="2"/>
      <scheme val="minor"/>
    </font>
    <font>
      <b/>
      <sz val="14"/>
      <color rgb="FFFFFFFF"/>
      <name val="Segoe UI"/>
    </font>
    <font>
      <b/>
      <sz val="9"/>
      <color rgb="FF595959"/>
      <name val="Segoe UI"/>
    </font>
    <font>
      <b/>
      <sz val="14"/>
      <color rgb="FF1F4E78"/>
      <name val="Segoe UI"/>
    </font>
    <font>
      <b/>
      <sz val="10"/>
      <color rgb="FFFFFFFF"/>
      <name val="Segoe UI"/>
    </font>
    <font>
      <b/>
      <sz val="8"/>
      <color rgb="FF333333"/>
      <name val="Segoe UI"/>
    </font>
    <font>
      <sz val="7"/>
      <color rgb="FF666666"/>
      <name val="Segoe UI"/>
    </font>
    <font>
      <sz val="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1F4E7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Segoe U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FFFFFF"/>
      <name val="Segoe UI"/>
      <family val="2"/>
    </font>
    <font>
      <b/>
      <sz val="10"/>
      <color rgb="FF1F4E78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EAEEF3"/>
        <bgColor rgb="FFEAEEF3"/>
      </patternFill>
    </fill>
    <fill>
      <patternFill patternType="solid">
        <fgColor rgb="FFFFFFFF"/>
        <bgColor rgb="FFFFFFFF"/>
      </patternFill>
    </fill>
    <fill>
      <patternFill patternType="solid">
        <fgColor rgb="FFD9E1E8"/>
        <bgColor rgb="FFD9E1E8"/>
      </patternFill>
    </fill>
    <fill>
      <patternFill patternType="solid">
        <fgColor rgb="FFE9EDF4"/>
        <bgColor rgb="FFE9EDF4"/>
      </patternFill>
    </fill>
    <fill>
      <patternFill patternType="solid">
        <fgColor rgb="FF1F4E78"/>
        <bgColor indexed="64"/>
      </patternFill>
    </fill>
    <fill>
      <patternFill patternType="solid">
        <fgColor rgb="FFE4E4E4"/>
        <bgColor rgb="FFFFFFFF"/>
      </patternFill>
    </fill>
    <fill>
      <patternFill patternType="solid">
        <fgColor rgb="FFFFC000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rgb="FFD9E1E8"/>
      </patternFill>
    </fill>
    <fill>
      <patternFill patternType="solid">
        <fgColor rgb="FFFFF9E1"/>
        <bgColor rgb="FFFFFFFF"/>
      </patternFill>
    </fill>
    <fill>
      <patternFill patternType="solid">
        <fgColor rgb="FF546E7A"/>
        <bgColor indexed="64"/>
      </patternFill>
    </fill>
  </fills>
  <borders count="2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4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0" fillId="4" borderId="1" xfId="0" applyFill="1" applyBorder="1"/>
    <xf numFmtId="0" fontId="8" fillId="7" borderId="0" xfId="0" applyFont="1" applyFill="1" applyAlignment="1">
      <alignment horizontal="center" vertical="center"/>
    </xf>
    <xf numFmtId="0" fontId="0" fillId="8" borderId="1" xfId="0" applyFill="1" applyBorder="1"/>
    <xf numFmtId="0" fontId="5" fillId="11" borderId="0" xfId="0" applyFont="1" applyFill="1" applyAlignment="1">
      <alignment horizontal="center" vertical="center"/>
    </xf>
    <xf numFmtId="0" fontId="0" fillId="12" borderId="1" xfId="0" applyFill="1" applyBorder="1"/>
    <xf numFmtId="167" fontId="12" fillId="2" borderId="0" xfId="0" applyNumberFormat="1" applyFont="1" applyFill="1" applyAlignment="1">
      <alignment vertical="top" wrapText="1"/>
    </xf>
    <xf numFmtId="0" fontId="11" fillId="0" borderId="0" xfId="0" applyFont="1"/>
    <xf numFmtId="0" fontId="14" fillId="0" borderId="0" xfId="0" applyFont="1"/>
    <xf numFmtId="0" fontId="8" fillId="7" borderId="0" xfId="0" applyFont="1" applyFill="1" applyAlignment="1">
      <alignment horizontal="center"/>
    </xf>
    <xf numFmtId="14" fontId="0" fillId="0" borderId="0" xfId="0" applyNumberFormat="1"/>
    <xf numFmtId="20" fontId="0" fillId="0" borderId="0" xfId="0" applyNumberFormat="1"/>
    <xf numFmtId="49" fontId="0" fillId="0" borderId="0" xfId="0" applyNumberFormat="1"/>
    <xf numFmtId="0" fontId="8" fillId="13" borderId="0" xfId="0" applyFont="1" applyFill="1" applyAlignment="1">
      <alignment horizontal="center"/>
    </xf>
    <xf numFmtId="0" fontId="15" fillId="0" borderId="0" xfId="0" applyFont="1" applyAlignment="1">
      <alignment vertical="center"/>
    </xf>
    <xf numFmtId="49" fontId="15" fillId="0" borderId="0" xfId="0" applyNumberFormat="1" applyFont="1" applyAlignment="1">
      <alignment vertical="center"/>
    </xf>
    <xf numFmtId="165" fontId="15" fillId="0" borderId="0" xfId="0" applyNumberFormat="1" applyFont="1" applyAlignment="1">
      <alignment vertical="center"/>
    </xf>
    <xf numFmtId="22" fontId="15" fillId="0" borderId="0" xfId="0" applyNumberFormat="1" applyFont="1" applyAlignment="1">
      <alignment vertical="center"/>
    </xf>
    <xf numFmtId="165" fontId="15" fillId="0" borderId="0" xfId="0" applyNumberFormat="1" applyFont="1" applyAlignment="1">
      <alignment horizontal="center" vertical="center"/>
    </xf>
    <xf numFmtId="1" fontId="0" fillId="0" borderId="0" xfId="0" applyNumberFormat="1"/>
    <xf numFmtId="164" fontId="0" fillId="0" borderId="0" xfId="0" applyNumberFormat="1"/>
    <xf numFmtId="0" fontId="2" fillId="3" borderId="0" xfId="0" applyFont="1" applyFill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9" fontId="3" fillId="4" borderId="0" xfId="0" applyNumberFormat="1" applyFont="1" applyFill="1" applyAlignment="1">
      <alignment horizontal="center" vertical="center"/>
    </xf>
    <xf numFmtId="166" fontId="16" fillId="2" borderId="0" xfId="0" applyNumberFormat="1" applyFont="1" applyFill="1" applyAlignment="1">
      <alignment horizontal="center" vertical="center"/>
    </xf>
    <xf numFmtId="0" fontId="9" fillId="7" borderId="0" xfId="0" applyFont="1" applyFill="1"/>
    <xf numFmtId="166" fontId="17" fillId="9" borderId="0" xfId="0" applyNumberFormat="1" applyFont="1" applyFill="1" applyAlignment="1">
      <alignment horizontal="center" vertical="center"/>
    </xf>
    <xf numFmtId="0" fontId="10" fillId="10" borderId="0" xfId="0" applyFont="1" applyFill="1"/>
    <xf numFmtId="0" fontId="4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3" fillId="0" borderId="0" xfId="0" applyFont="1" applyAlignment="1">
      <alignment horizontal="left"/>
    </xf>
    <xf numFmtId="49" fontId="15" fillId="0" borderId="0" xfId="0" applyNumberFormat="1" applyFont="1" applyFill="1" applyAlignment="1">
      <alignment vertical="center"/>
    </xf>
    <xf numFmtId="0" fontId="15" fillId="0" borderId="0" xfId="0" applyFont="1" applyFill="1" applyAlignment="1">
      <alignment vertical="center"/>
    </xf>
    <xf numFmtId="165" fontId="15" fillId="0" borderId="0" xfId="0" applyNumberFormat="1" applyFont="1" applyFill="1" applyAlignment="1">
      <alignment vertical="center"/>
    </xf>
    <xf numFmtId="169" fontId="15" fillId="0" borderId="0" xfId="0" applyNumberFormat="1" applyFont="1" applyFill="1" applyAlignment="1">
      <alignment vertical="center"/>
    </xf>
    <xf numFmtId="0" fontId="0" fillId="0" borderId="0" xfId="0" applyNumberFormat="1"/>
    <xf numFmtId="0" fontId="15" fillId="0" borderId="0" xfId="0" applyNumberFormat="1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406400</xdr:rowOff>
    </xdr:from>
    <xdr:to>
      <xdr:col>0</xdr:col>
      <xdr:colOff>1730375</xdr:colOff>
      <xdr:row>0</xdr:row>
      <xdr:rowOff>660400</xdr:rowOff>
    </xdr:to>
    <xdr:sp macro="APS_NovaOperacao" textlink="">
      <xdr:nvSpPr>
        <xdr:cNvPr id="2" name="APS_BTN_NOVA">
          <a:extLst>
            <a:ext uri="{FF2B5EF4-FFF2-40B4-BE49-F238E27FC236}">
              <a16:creationId xmlns:a16="http://schemas.microsoft.com/office/drawing/2014/main" id="{C6F7C233-3B1D-4906-86E6-9FA92F40391C}"/>
            </a:ext>
          </a:extLst>
        </xdr:cNvPr>
        <xdr:cNvSpPr/>
      </xdr:nvSpPr>
      <xdr:spPr>
        <a:xfrm>
          <a:off x="50800" y="406400"/>
          <a:ext cx="1679575" cy="254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NOVA OPERAÇÃO</a:t>
          </a:r>
        </a:p>
      </xdr:txBody>
    </xdr:sp>
    <xdr:clientData/>
  </xdr:twoCellAnchor>
  <xdr:twoCellAnchor editAs="oneCell">
    <xdr:from>
      <xdr:col>0</xdr:col>
      <xdr:colOff>50800</xdr:colOff>
      <xdr:row>0</xdr:row>
      <xdr:rowOff>698500</xdr:rowOff>
    </xdr:from>
    <xdr:to>
      <xdr:col>0</xdr:col>
      <xdr:colOff>865188</xdr:colOff>
      <xdr:row>0</xdr:row>
      <xdr:rowOff>927100</xdr:rowOff>
    </xdr:to>
    <xdr:sp macro="APS_IrParaHojeBtn" textlink="">
      <xdr:nvSpPr>
        <xdr:cNvPr id="3" name="APS_BTN_HOJE">
          <a:extLst>
            <a:ext uri="{FF2B5EF4-FFF2-40B4-BE49-F238E27FC236}">
              <a16:creationId xmlns:a16="http://schemas.microsoft.com/office/drawing/2014/main" id="{3CA55980-295D-4659-9765-A911B83344F8}"/>
            </a:ext>
          </a:extLst>
        </xdr:cNvPr>
        <xdr:cNvSpPr/>
      </xdr:nvSpPr>
      <xdr:spPr>
        <a:xfrm>
          <a:off x="50800" y="698500"/>
          <a:ext cx="814388" cy="228600"/>
        </a:xfrm>
        <a:prstGeom prst="roundRect">
          <a:avLst/>
        </a:prstGeom>
        <a:solidFill>
          <a:srgbClr val="E691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HOJE</a:t>
          </a:r>
        </a:p>
      </xdr:txBody>
    </xdr:sp>
    <xdr:clientData/>
  </xdr:twoCellAnchor>
  <xdr:twoCellAnchor editAs="oneCell">
    <xdr:from>
      <xdr:col>0</xdr:col>
      <xdr:colOff>915988</xdr:colOff>
      <xdr:row>0</xdr:row>
      <xdr:rowOff>698500</xdr:rowOff>
    </xdr:from>
    <xdr:to>
      <xdr:col>0</xdr:col>
      <xdr:colOff>1730375</xdr:colOff>
      <xdr:row>0</xdr:row>
      <xdr:rowOff>927100</xdr:rowOff>
    </xdr:to>
    <xdr:sp macro="APS_AbrirCalendario" textlink="">
      <xdr:nvSpPr>
        <xdr:cNvPr id="4" name="APS_BTN_CAL">
          <a:extLst>
            <a:ext uri="{FF2B5EF4-FFF2-40B4-BE49-F238E27FC236}">
              <a16:creationId xmlns:a16="http://schemas.microsoft.com/office/drawing/2014/main" id="{DC55453F-2140-4CA0-9039-515FF00E1BDB}"/>
            </a:ext>
          </a:extLst>
        </xdr:cNvPr>
        <xdr:cNvSpPr/>
      </xdr:nvSpPr>
      <xdr:spPr>
        <a:xfrm>
          <a:off x="915988" y="698500"/>
          <a:ext cx="814387" cy="228600"/>
        </a:xfrm>
        <a:prstGeom prst="roundRect">
          <a:avLst/>
        </a:prstGeom>
        <a:solidFill>
          <a:srgbClr val="546E7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CALENDÁRIO</a:t>
          </a:r>
        </a:p>
      </xdr:txBody>
    </xdr:sp>
    <xdr:clientData/>
  </xdr:twoCellAnchor>
  <xdr:twoCellAnchor editAs="oneCell">
    <xdr:from>
      <xdr:col>0</xdr:col>
      <xdr:colOff>50800</xdr:colOff>
      <xdr:row>28</xdr:row>
      <xdr:rowOff>0</xdr:rowOff>
    </xdr:from>
    <xdr:to>
      <xdr:col>0</xdr:col>
      <xdr:colOff>1730375</xdr:colOff>
      <xdr:row>29</xdr:row>
      <xdr:rowOff>114300</xdr:rowOff>
    </xdr:to>
    <xdr:sp macro="APS_AdicionarDias" textlink="">
      <xdr:nvSpPr>
        <xdr:cNvPr id="5" name="APS_BTN_DIAS">
          <a:extLst>
            <a:ext uri="{FF2B5EF4-FFF2-40B4-BE49-F238E27FC236}">
              <a16:creationId xmlns:a16="http://schemas.microsoft.com/office/drawing/2014/main" id="{37466701-716D-4097-B253-7ACE818779BD}"/>
            </a:ext>
          </a:extLst>
        </xdr:cNvPr>
        <xdr:cNvSpPr/>
      </xdr:nvSpPr>
      <xdr:spPr>
        <a:xfrm>
          <a:off x="50800" y="6134100"/>
          <a:ext cx="1679575" cy="30480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ADICIONAR DIAS</a:t>
          </a:r>
        </a:p>
      </xdr:txBody>
    </xdr:sp>
    <xdr:clientData/>
  </xdr:twoCellAnchor>
  <xdr:twoCellAnchor>
    <xdr:from>
      <xdr:col>587</xdr:col>
      <xdr:colOff>0</xdr:colOff>
      <xdr:row>15</xdr:row>
      <xdr:rowOff>25400</xdr:rowOff>
    </xdr:from>
    <xdr:to>
      <xdr:col>602</xdr:col>
      <xdr:colOff>196850</xdr:colOff>
      <xdr:row>18</xdr:row>
      <xdr:rowOff>139700</xdr:rowOff>
    </xdr:to>
    <xdr:sp macro="APS_CardClick" textlink="">
      <xdr:nvSpPr>
        <xdr:cNvPr id="6" name="OPCARD_20" descr="OP 0468 | Puran T4 62,5 mcg | Lote 558855 | Mediseal | 11/10 10:00 - 12/10 01:40 | Em Andamento | atraso 0:20">
          <a:extLst>
            <a:ext uri="{FF2B5EF4-FFF2-40B4-BE49-F238E27FC236}">
              <a16:creationId xmlns:a16="http://schemas.microsoft.com/office/drawing/2014/main" id="{918CFCC2-FA16-AE37-D770-238B426DE63A}"/>
            </a:ext>
          </a:extLst>
        </xdr:cNvPr>
        <xdr:cNvSpPr/>
      </xdr:nvSpPr>
      <xdr:spPr>
        <a:xfrm>
          <a:off x="174812325" y="3683000"/>
          <a:ext cx="4625975" cy="685800"/>
        </a:xfrm>
        <a:prstGeom prst="roundRect">
          <a:avLst>
            <a:gd name="adj" fmla="val 15000"/>
          </a:avLst>
        </a:prstGeom>
        <a:solidFill>
          <a:srgbClr val="168C7D"/>
        </a:solidFill>
        <a:ln w="31750">
          <a:solidFill>
            <a:srgbClr val="4CD964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/>
        <a:lstStyle/>
        <a:p>
          <a:pPr algn="l"/>
          <a:r>
            <a:rPr lang="pt-BR" sz="900" b="1">
              <a:solidFill>
                <a:srgbClr val="FFFFFF"/>
              </a:solidFill>
              <a:latin typeface="Calibri" panose="020F0502020204030204" pitchFamily="34" charset="0"/>
            </a:rPr>
            <a:t>OP 0468  Puran T4 62,5 mcg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Lote 558855  (atraso 0:20)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10:00-01:40 (+1)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Em Andamento</a:t>
          </a:r>
        </a:p>
      </xdr:txBody>
    </xdr:sp>
    <xdr:clientData/>
  </xdr:twoCellAnchor>
  <xdr:twoCellAnchor>
    <xdr:from>
      <xdr:col>585</xdr:col>
      <xdr:colOff>0</xdr:colOff>
      <xdr:row>15</xdr:row>
      <xdr:rowOff>25400</xdr:rowOff>
    </xdr:from>
    <xdr:to>
      <xdr:col>587</xdr:col>
      <xdr:colOff>0</xdr:colOff>
      <xdr:row>18</xdr:row>
      <xdr:rowOff>139700</xdr:rowOff>
    </xdr:to>
    <xdr:sp macro="APS_CardClick" textlink="">
      <xdr:nvSpPr>
        <xdr:cNvPr id="7" name="OPCARD_S20" descr="Puran T4 62,5 mcg | Lote 558855 | Mediseal | 11/10 08:00 - 11/10 10:00">
          <a:extLst>
            <a:ext uri="{FF2B5EF4-FFF2-40B4-BE49-F238E27FC236}">
              <a16:creationId xmlns:a16="http://schemas.microsoft.com/office/drawing/2014/main" id="{8ADD50FA-7312-FBD0-4B06-C79D9FAC9688}"/>
            </a:ext>
          </a:extLst>
        </xdr:cNvPr>
        <xdr:cNvSpPr/>
      </xdr:nvSpPr>
      <xdr:spPr>
        <a:xfrm>
          <a:off x="174221775" y="3683000"/>
          <a:ext cx="590550" cy="685800"/>
        </a:xfrm>
        <a:prstGeom prst="roundRect">
          <a:avLst>
            <a:gd name="adj" fmla="val 15000"/>
          </a:avLst>
        </a:prstGeom>
        <a:solidFill>
          <a:srgbClr val="FFB300">
            <a:alpha val="55000"/>
          </a:srgbClr>
        </a:solidFill>
        <a:ln w="12700">
          <a:solidFill>
            <a:srgbClr val="787878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/>
        <a:lstStyle/>
        <a:p>
          <a:pPr algn="l"/>
          <a:r>
            <a:rPr lang="pt-BR" sz="900" b="1">
              <a:solidFill>
                <a:srgbClr val="1E1E1E"/>
              </a:solidFill>
              <a:latin typeface="Calibri" panose="020F0502020204030204" pitchFamily="34" charset="0"/>
            </a:rPr>
            <a:t>Setup D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Lote 55…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08:00-1…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906666 …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101600</xdr:colOff>
      <xdr:row>0</xdr:row>
      <xdr:rowOff>50800</xdr:rowOff>
    </xdr:from>
    <xdr:to>
      <xdr:col>19</xdr:col>
      <xdr:colOff>177800</xdr:colOff>
      <xdr:row>0</xdr:row>
      <xdr:rowOff>330200</xdr:rowOff>
    </xdr:to>
    <xdr:sp macro="APS_NovaOperacao" textlink="">
      <xdr:nvSpPr>
        <xdr:cNvPr id="2" name="APS_BTN_NOVA_OPS">
          <a:extLst>
            <a:ext uri="{FF2B5EF4-FFF2-40B4-BE49-F238E27FC236}">
              <a16:creationId xmlns:a16="http://schemas.microsoft.com/office/drawing/2014/main" id="{2FDDC71F-98FC-40DF-9100-9F2EEB243AA2}"/>
            </a:ext>
          </a:extLst>
        </xdr:cNvPr>
        <xdr:cNvSpPr/>
      </xdr:nvSpPr>
      <xdr:spPr>
        <a:xfrm>
          <a:off x="11931650" y="50800"/>
          <a:ext cx="1905000" cy="2794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NOVA OPERAÇÃO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38100</xdr:rowOff>
    </xdr:from>
    <xdr:to>
      <xdr:col>9</xdr:col>
      <xdr:colOff>377825</xdr:colOff>
      <xdr:row>0</xdr:row>
      <xdr:rowOff>342900</xdr:rowOff>
    </xdr:to>
    <xdr:sp macro="APS_OrganizarAutomaticamente" textlink="">
      <xdr:nvSpPr>
        <xdr:cNvPr id="2" name="APS_BTN_ORGANIZAR">
          <a:extLst>
            <a:ext uri="{FF2B5EF4-FFF2-40B4-BE49-F238E27FC236}">
              <a16:creationId xmlns:a16="http://schemas.microsoft.com/office/drawing/2014/main" id="{36913CCF-6A46-417A-B9A5-971D8570B913}"/>
            </a:ext>
          </a:extLst>
        </xdr:cNvPr>
        <xdr:cNvSpPr/>
      </xdr:nvSpPr>
      <xdr:spPr>
        <a:xfrm>
          <a:off x="6353175" y="38100"/>
          <a:ext cx="2921000" cy="30480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ORGANIZAR AUTOMATICAMENTE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7"/>
  </sheetPr>
  <dimension ref="A1:N4"/>
  <sheetViews>
    <sheetView workbookViewId="0">
      <selection activeCell="C14" sqref="C14"/>
    </sheetView>
  </sheetViews>
  <sheetFormatPr defaultRowHeight="15" x14ac:dyDescent="0.25"/>
  <cols>
    <col min="1" max="1" width="34" customWidth="1"/>
    <col min="2" max="2" width="12" customWidth="1"/>
    <col min="3" max="3" width="48" customWidth="1"/>
    <col min="4" max="4" width="12" customWidth="1"/>
    <col min="5" max="5" width="51" customWidth="1"/>
    <col min="6" max="6" width="12" customWidth="1"/>
    <col min="7" max="7" width="48" customWidth="1"/>
    <col min="8" max="8" width="12" customWidth="1"/>
    <col min="9" max="9" width="47" customWidth="1"/>
    <col min="10" max="10" width="12" customWidth="1"/>
    <col min="11" max="11" width="31" customWidth="1"/>
    <col min="12" max="12" width="12" customWidth="1"/>
    <col min="13" max="13" width="35" customWidth="1"/>
    <col min="14" max="14" width="12" customWidth="1"/>
  </cols>
  <sheetData>
    <row r="1" spans="1:14" ht="35.1" customHeight="1" x14ac:dyDescent="0.35">
      <c r="A1" s="26" t="s">
        <v>0</v>
      </c>
      <c r="B1" s="27"/>
      <c r="C1" s="27"/>
      <c r="D1" s="27"/>
      <c r="E1" s="27"/>
      <c r="F1" s="27"/>
      <c r="G1" s="27"/>
      <c r="H1" s="27"/>
    </row>
    <row r="3" spans="1:14" ht="20.100000000000001" customHeight="1" x14ac:dyDescent="0.25">
      <c r="A3" s="24" t="s">
        <v>1</v>
      </c>
      <c r="B3" s="25"/>
      <c r="C3" s="24" t="s">
        <v>2</v>
      </c>
      <c r="D3" s="25"/>
      <c r="E3" s="24" t="s">
        <v>3</v>
      </c>
      <c r="F3" s="25"/>
      <c r="G3" s="24" t="s">
        <v>4</v>
      </c>
      <c r="H3" s="25"/>
      <c r="I3" s="24" t="s">
        <v>5</v>
      </c>
      <c r="J3" s="25"/>
      <c r="K3" s="24" t="s">
        <v>6</v>
      </c>
      <c r="L3" s="25"/>
      <c r="M3" s="24" t="s">
        <v>7</v>
      </c>
      <c r="N3" s="25"/>
    </row>
    <row r="4" spans="1:14" ht="30" customHeight="1" x14ac:dyDescent="0.25">
      <c r="A4" s="29">
        <f>COUNTIFS('02_Operacoes'!$F:$F,"&gt;0",'02_Operacoes'!$I:$I,"&lt;&gt;*[[APS_*",'02_Operacoes'!$A:$A,"&lt;&gt;SETUP",'02_Operacoes'!$A:$A,"&lt;&gt;LIMPEZA")</f>
        <v>1</v>
      </c>
      <c r="B4" s="25"/>
      <c r="C4" s="29">
        <f>COUNTIFS('02_Operacoes'!$F:$F,"&gt;0",'02_Operacoes'!$I:$I,"&lt;&gt;*[[APS_*",'02_Operacoes'!$A:$A,"&lt;&gt;SETUP",'02_Operacoes'!$A:$A,"&lt;&gt;LIMPEZA",'02_Operacoes'!$H:$H,"Planejada")</f>
        <v>0</v>
      </c>
      <c r="D4" s="25"/>
      <c r="E4" s="29">
        <f>COUNTIFS('02_Operacoes'!$F:$F,"&gt;0",'02_Operacoes'!$I:$I,"&lt;&gt;*[[APS_*",'02_Operacoes'!$A:$A,"&lt;&gt;SETUP",'02_Operacoes'!$A:$A,"&lt;&gt;LIMPEZA",'02_Operacoes'!$H:$H,"Em Andamento")</f>
        <v>1</v>
      </c>
      <c r="F4" s="25"/>
      <c r="G4" s="29">
        <f>COUNTIFS('02_Operacoes'!$F:$F,"&gt;0",'02_Operacoes'!$I:$I,"&lt;&gt;*[[APS_*",'02_Operacoes'!$A:$A,"&lt;&gt;SETUP",'02_Operacoes'!$A:$A,"&lt;&gt;LIMPEZA",'02_Operacoes'!$H:$H,"Concluída")</f>
        <v>0</v>
      </c>
      <c r="H4" s="25"/>
      <c r="I4" s="29">
        <f>COUNTIFS('02_Operacoes'!$F:$F,"&gt;0",'02_Operacoes'!$I:$I,"&lt;&gt;*[[APS_*",'02_Operacoes'!$A:$A,"&lt;&gt;SETUP",'02_Operacoes'!$A:$A,"&lt;&gt;LIMPEZA",'02_Operacoes'!$H:$H,"Atrasada")</f>
        <v>0</v>
      </c>
      <c r="J4" s="25"/>
      <c r="K4" s="28">
        <f>SUMIFS('02_Operacoes'!$K:$K,'02_Operacoes'!$F:$F,"&gt;0",'02_Operacoes'!$I:$I,"&lt;&gt;*[[APS_*",'02_Operacoes'!$A:$A,"&lt;&gt;SETUP",'02_Operacoes'!$A:$A,"&lt;&gt;LIMPEZA")*24</f>
        <v>13.333333333333334</v>
      </c>
      <c r="L4" s="25"/>
      <c r="M4" s="30">
        <f ca="1">APS_DashOcupacaoMedia()</f>
        <v>1</v>
      </c>
      <c r="N4" s="25"/>
    </row>
  </sheetData>
  <mergeCells count="15">
    <mergeCell ref="I3:J3"/>
    <mergeCell ref="M3:N3"/>
    <mergeCell ref="A1:H1"/>
    <mergeCell ref="K4:L4"/>
    <mergeCell ref="C3:D3"/>
    <mergeCell ref="A3:B3"/>
    <mergeCell ref="G3:H3"/>
    <mergeCell ref="E3:F3"/>
    <mergeCell ref="K3:L3"/>
    <mergeCell ref="C4:D4"/>
    <mergeCell ref="A4:B4"/>
    <mergeCell ref="G4:H4"/>
    <mergeCell ref="E4:F4"/>
    <mergeCell ref="I4:J4"/>
    <mergeCell ref="M4:N4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theme="3" tint="0.39997558519241921"/>
  </sheetPr>
  <dimension ref="A1:ACO27"/>
  <sheetViews>
    <sheetView tabSelected="1" zoomScale="90" zoomScaleNormal="90" workbookViewId="0">
      <pane xSplit="1" ySplit="3" topLeftCell="VF4" activePane="bottomRight" state="frozen"/>
      <selection pane="topRight" activeCell="B1" sqref="B1"/>
      <selection pane="bottomLeft" activeCell="A4" sqref="A4"/>
      <selection pane="bottomRight" activeCell="WB8" sqref="WB8"/>
    </sheetView>
  </sheetViews>
  <sheetFormatPr defaultRowHeight="15" x14ac:dyDescent="0.25"/>
  <cols>
    <col min="1" max="1" width="26.7109375" customWidth="1"/>
    <col min="2" max="769" width="4.42578125" customWidth="1"/>
  </cols>
  <sheetData>
    <row r="1" spans="1:769" ht="78" customHeight="1" x14ac:dyDescent="0.25">
      <c r="A1" s="9" t="s">
        <v>54</v>
      </c>
      <c r="B1" s="31">
        <v>46282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1">
        <v>46283</v>
      </c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1">
        <v>46284</v>
      </c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1">
        <v>46285</v>
      </c>
      <c r="BW1" s="32"/>
      <c r="BX1" s="32"/>
      <c r="BY1" s="32"/>
      <c r="BZ1" s="32"/>
      <c r="CA1" s="32"/>
      <c r="CB1" s="32"/>
      <c r="CC1" s="32"/>
      <c r="CD1" s="32"/>
      <c r="CE1" s="32"/>
      <c r="CF1" s="32"/>
      <c r="CG1" s="32"/>
      <c r="CH1" s="32"/>
      <c r="CI1" s="32"/>
      <c r="CJ1" s="32"/>
      <c r="CK1" s="32"/>
      <c r="CL1" s="32"/>
      <c r="CM1" s="32"/>
      <c r="CN1" s="32"/>
      <c r="CO1" s="32"/>
      <c r="CP1" s="32"/>
      <c r="CQ1" s="32"/>
      <c r="CR1" s="32"/>
      <c r="CS1" s="32"/>
      <c r="CT1" s="31">
        <v>46286</v>
      </c>
      <c r="CU1" s="32"/>
      <c r="CV1" s="32"/>
      <c r="CW1" s="32"/>
      <c r="CX1" s="32"/>
      <c r="CY1" s="32"/>
      <c r="CZ1" s="32"/>
      <c r="DA1" s="32"/>
      <c r="DB1" s="32"/>
      <c r="DC1" s="32"/>
      <c r="DD1" s="32"/>
      <c r="DE1" s="32"/>
      <c r="DF1" s="32"/>
      <c r="DG1" s="32"/>
      <c r="DH1" s="32"/>
      <c r="DI1" s="32"/>
      <c r="DJ1" s="32"/>
      <c r="DK1" s="32"/>
      <c r="DL1" s="32"/>
      <c r="DM1" s="32"/>
      <c r="DN1" s="32"/>
      <c r="DO1" s="32"/>
      <c r="DP1" s="32"/>
      <c r="DQ1" s="32"/>
      <c r="DR1" s="31">
        <v>46287</v>
      </c>
      <c r="DS1" s="32"/>
      <c r="DT1" s="32"/>
      <c r="DU1" s="32"/>
      <c r="DV1" s="32"/>
      <c r="DW1" s="32"/>
      <c r="DX1" s="32"/>
      <c r="DY1" s="32"/>
      <c r="DZ1" s="32"/>
      <c r="EA1" s="32"/>
      <c r="EB1" s="32"/>
      <c r="EC1" s="32"/>
      <c r="ED1" s="32"/>
      <c r="EE1" s="32"/>
      <c r="EF1" s="32"/>
      <c r="EG1" s="32"/>
      <c r="EH1" s="32"/>
      <c r="EI1" s="32"/>
      <c r="EJ1" s="32"/>
      <c r="EK1" s="32"/>
      <c r="EL1" s="32"/>
      <c r="EM1" s="32"/>
      <c r="EN1" s="32"/>
      <c r="EO1" s="32"/>
      <c r="EP1" s="31">
        <v>46288</v>
      </c>
      <c r="EQ1" s="32"/>
      <c r="ER1" s="32"/>
      <c r="ES1" s="32"/>
      <c r="ET1" s="32"/>
      <c r="EU1" s="32"/>
      <c r="EV1" s="32"/>
      <c r="EW1" s="32"/>
      <c r="EX1" s="32"/>
      <c r="EY1" s="32"/>
      <c r="EZ1" s="32"/>
      <c r="FA1" s="32"/>
      <c r="FB1" s="32"/>
      <c r="FC1" s="32"/>
      <c r="FD1" s="32"/>
      <c r="FE1" s="32"/>
      <c r="FF1" s="32"/>
      <c r="FG1" s="32"/>
      <c r="FH1" s="32"/>
      <c r="FI1" s="32"/>
      <c r="FJ1" s="32"/>
      <c r="FK1" s="32"/>
      <c r="FL1" s="32"/>
      <c r="FM1" s="32"/>
      <c r="FN1" s="31">
        <v>46289</v>
      </c>
      <c r="FO1" s="32"/>
      <c r="FP1" s="32"/>
      <c r="FQ1" s="32"/>
      <c r="FR1" s="32"/>
      <c r="FS1" s="32"/>
      <c r="FT1" s="32"/>
      <c r="FU1" s="32"/>
      <c r="FV1" s="32"/>
      <c r="FW1" s="32"/>
      <c r="FX1" s="32"/>
      <c r="FY1" s="32"/>
      <c r="FZ1" s="32"/>
      <c r="GA1" s="32"/>
      <c r="GB1" s="32"/>
      <c r="GC1" s="32"/>
      <c r="GD1" s="32"/>
      <c r="GE1" s="32"/>
      <c r="GF1" s="32"/>
      <c r="GG1" s="32"/>
      <c r="GH1" s="32"/>
      <c r="GI1" s="32"/>
      <c r="GJ1" s="32"/>
      <c r="GK1" s="32"/>
      <c r="GL1" s="31">
        <v>46290</v>
      </c>
      <c r="GM1" s="32"/>
      <c r="GN1" s="32"/>
      <c r="GO1" s="32"/>
      <c r="GP1" s="32"/>
      <c r="GQ1" s="32"/>
      <c r="GR1" s="32"/>
      <c r="GS1" s="32"/>
      <c r="GT1" s="32"/>
      <c r="GU1" s="32"/>
      <c r="GV1" s="32"/>
      <c r="GW1" s="32"/>
      <c r="GX1" s="32"/>
      <c r="GY1" s="32"/>
      <c r="GZ1" s="32"/>
      <c r="HA1" s="32"/>
      <c r="HB1" s="32"/>
      <c r="HC1" s="32"/>
      <c r="HD1" s="32"/>
      <c r="HE1" s="32"/>
      <c r="HF1" s="32"/>
      <c r="HG1" s="32"/>
      <c r="HH1" s="32"/>
      <c r="HI1" s="32"/>
      <c r="HJ1" s="31">
        <v>46291</v>
      </c>
      <c r="HK1" s="32"/>
      <c r="HL1" s="32"/>
      <c r="HM1" s="32"/>
      <c r="HN1" s="32"/>
      <c r="HO1" s="32"/>
      <c r="HP1" s="32"/>
      <c r="HQ1" s="32"/>
      <c r="HR1" s="32"/>
      <c r="HS1" s="32"/>
      <c r="HT1" s="32"/>
      <c r="HU1" s="32"/>
      <c r="HV1" s="32"/>
      <c r="HW1" s="32"/>
      <c r="HX1" s="32"/>
      <c r="HY1" s="32"/>
      <c r="HZ1" s="32"/>
      <c r="IA1" s="32"/>
      <c r="IB1" s="32"/>
      <c r="IC1" s="32"/>
      <c r="ID1" s="32"/>
      <c r="IE1" s="32"/>
      <c r="IF1" s="32"/>
      <c r="IG1" s="32"/>
      <c r="IH1" s="31">
        <v>46292</v>
      </c>
      <c r="II1" s="32"/>
      <c r="IJ1" s="32"/>
      <c r="IK1" s="32"/>
      <c r="IL1" s="32"/>
      <c r="IM1" s="32"/>
      <c r="IN1" s="32"/>
      <c r="IO1" s="32"/>
      <c r="IP1" s="32"/>
      <c r="IQ1" s="32"/>
      <c r="IR1" s="32"/>
      <c r="IS1" s="32"/>
      <c r="IT1" s="32"/>
      <c r="IU1" s="32"/>
      <c r="IV1" s="32"/>
      <c r="IW1" s="32"/>
      <c r="IX1" s="32"/>
      <c r="IY1" s="32"/>
      <c r="IZ1" s="32"/>
      <c r="JA1" s="32"/>
      <c r="JB1" s="32"/>
      <c r="JC1" s="32"/>
      <c r="JD1" s="32"/>
      <c r="JE1" s="32"/>
      <c r="JF1" s="31">
        <v>46293</v>
      </c>
      <c r="JG1" s="32"/>
      <c r="JH1" s="32"/>
      <c r="JI1" s="32"/>
      <c r="JJ1" s="32"/>
      <c r="JK1" s="32"/>
      <c r="JL1" s="32"/>
      <c r="JM1" s="32"/>
      <c r="JN1" s="32"/>
      <c r="JO1" s="32"/>
      <c r="JP1" s="32"/>
      <c r="JQ1" s="32"/>
      <c r="JR1" s="32"/>
      <c r="JS1" s="32"/>
      <c r="JT1" s="32"/>
      <c r="JU1" s="32"/>
      <c r="JV1" s="32"/>
      <c r="JW1" s="32"/>
      <c r="JX1" s="32"/>
      <c r="JY1" s="32"/>
      <c r="JZ1" s="32"/>
      <c r="KA1" s="32"/>
      <c r="KB1" s="32"/>
      <c r="KC1" s="32"/>
      <c r="KD1" s="31">
        <v>46294</v>
      </c>
      <c r="KE1" s="32"/>
      <c r="KF1" s="32"/>
      <c r="KG1" s="32"/>
      <c r="KH1" s="32"/>
      <c r="KI1" s="32"/>
      <c r="KJ1" s="32"/>
      <c r="KK1" s="32"/>
      <c r="KL1" s="32"/>
      <c r="KM1" s="32"/>
      <c r="KN1" s="32"/>
      <c r="KO1" s="32"/>
      <c r="KP1" s="32"/>
      <c r="KQ1" s="32"/>
      <c r="KR1" s="32"/>
      <c r="KS1" s="32"/>
      <c r="KT1" s="32"/>
      <c r="KU1" s="32"/>
      <c r="KV1" s="32"/>
      <c r="KW1" s="32"/>
      <c r="KX1" s="32"/>
      <c r="KY1" s="32"/>
      <c r="KZ1" s="32"/>
      <c r="LA1" s="32"/>
      <c r="LB1" s="31">
        <v>46295</v>
      </c>
      <c r="LC1" s="32"/>
      <c r="LD1" s="32"/>
      <c r="LE1" s="32"/>
      <c r="LF1" s="32"/>
      <c r="LG1" s="32"/>
      <c r="LH1" s="32"/>
      <c r="LI1" s="32"/>
      <c r="LJ1" s="32"/>
      <c r="LK1" s="32"/>
      <c r="LL1" s="32"/>
      <c r="LM1" s="32"/>
      <c r="LN1" s="32"/>
      <c r="LO1" s="32"/>
      <c r="LP1" s="32"/>
      <c r="LQ1" s="32"/>
      <c r="LR1" s="32"/>
      <c r="LS1" s="32"/>
      <c r="LT1" s="32"/>
      <c r="LU1" s="32"/>
      <c r="LV1" s="32"/>
      <c r="LW1" s="32"/>
      <c r="LX1" s="32"/>
      <c r="LY1" s="32"/>
      <c r="LZ1" s="31">
        <v>46296</v>
      </c>
      <c r="MA1" s="32"/>
      <c r="MB1" s="32"/>
      <c r="MC1" s="32"/>
      <c r="MD1" s="32"/>
      <c r="ME1" s="32"/>
      <c r="MF1" s="32"/>
      <c r="MG1" s="32"/>
      <c r="MH1" s="32"/>
      <c r="MI1" s="32"/>
      <c r="MJ1" s="32"/>
      <c r="MK1" s="32"/>
      <c r="ML1" s="32"/>
      <c r="MM1" s="32"/>
      <c r="MN1" s="32"/>
      <c r="MO1" s="32"/>
      <c r="MP1" s="32"/>
      <c r="MQ1" s="32"/>
      <c r="MR1" s="32"/>
      <c r="MS1" s="32"/>
      <c r="MT1" s="32"/>
      <c r="MU1" s="32"/>
      <c r="MV1" s="32"/>
      <c r="MW1" s="32"/>
      <c r="MX1" s="31">
        <v>46297</v>
      </c>
      <c r="MY1" s="32"/>
      <c r="MZ1" s="32"/>
      <c r="NA1" s="32"/>
      <c r="NB1" s="32"/>
      <c r="NC1" s="32"/>
      <c r="ND1" s="32"/>
      <c r="NE1" s="32"/>
      <c r="NF1" s="32"/>
      <c r="NG1" s="32"/>
      <c r="NH1" s="32"/>
      <c r="NI1" s="32"/>
      <c r="NJ1" s="32"/>
      <c r="NK1" s="32"/>
      <c r="NL1" s="32"/>
      <c r="NM1" s="32"/>
      <c r="NN1" s="32"/>
      <c r="NO1" s="32"/>
      <c r="NP1" s="32"/>
      <c r="NQ1" s="32"/>
      <c r="NR1" s="32"/>
      <c r="NS1" s="32"/>
      <c r="NT1" s="32"/>
      <c r="NU1" s="32"/>
      <c r="NV1" s="31">
        <v>46298</v>
      </c>
      <c r="NW1" s="32"/>
      <c r="NX1" s="32"/>
      <c r="NY1" s="32"/>
      <c r="NZ1" s="32"/>
      <c r="OA1" s="32"/>
      <c r="OB1" s="32"/>
      <c r="OC1" s="32"/>
      <c r="OD1" s="32"/>
      <c r="OE1" s="32"/>
      <c r="OF1" s="32"/>
      <c r="OG1" s="32"/>
      <c r="OH1" s="32"/>
      <c r="OI1" s="32"/>
      <c r="OJ1" s="32"/>
      <c r="OK1" s="32"/>
      <c r="OL1" s="32"/>
      <c r="OM1" s="32"/>
      <c r="ON1" s="32"/>
      <c r="OO1" s="32"/>
      <c r="OP1" s="32"/>
      <c r="OQ1" s="32"/>
      <c r="OR1" s="32"/>
      <c r="OS1" s="32"/>
      <c r="OT1" s="31">
        <v>46299</v>
      </c>
      <c r="OU1" s="32"/>
      <c r="OV1" s="32"/>
      <c r="OW1" s="32"/>
      <c r="OX1" s="32"/>
      <c r="OY1" s="32"/>
      <c r="OZ1" s="32"/>
      <c r="PA1" s="32"/>
      <c r="PB1" s="32"/>
      <c r="PC1" s="32"/>
      <c r="PD1" s="32"/>
      <c r="PE1" s="32"/>
      <c r="PF1" s="32"/>
      <c r="PG1" s="32"/>
      <c r="PH1" s="32"/>
      <c r="PI1" s="32"/>
      <c r="PJ1" s="32"/>
      <c r="PK1" s="32"/>
      <c r="PL1" s="32"/>
      <c r="PM1" s="32"/>
      <c r="PN1" s="32"/>
      <c r="PO1" s="32"/>
      <c r="PP1" s="32"/>
      <c r="PQ1" s="32"/>
      <c r="PR1" s="31">
        <v>46300</v>
      </c>
      <c r="PS1" s="32"/>
      <c r="PT1" s="32"/>
      <c r="PU1" s="32"/>
      <c r="PV1" s="32"/>
      <c r="PW1" s="32"/>
      <c r="PX1" s="32"/>
      <c r="PY1" s="32"/>
      <c r="PZ1" s="32"/>
      <c r="QA1" s="32"/>
      <c r="QB1" s="32"/>
      <c r="QC1" s="32"/>
      <c r="QD1" s="32"/>
      <c r="QE1" s="32"/>
      <c r="QF1" s="32"/>
      <c r="QG1" s="32"/>
      <c r="QH1" s="32"/>
      <c r="QI1" s="32"/>
      <c r="QJ1" s="32"/>
      <c r="QK1" s="32"/>
      <c r="QL1" s="32"/>
      <c r="QM1" s="32"/>
      <c r="QN1" s="32"/>
      <c r="QO1" s="32"/>
      <c r="QP1" s="31">
        <v>46301</v>
      </c>
      <c r="QQ1" s="32"/>
      <c r="QR1" s="32"/>
      <c r="QS1" s="32"/>
      <c r="QT1" s="32"/>
      <c r="QU1" s="32"/>
      <c r="QV1" s="32"/>
      <c r="QW1" s="32"/>
      <c r="QX1" s="32"/>
      <c r="QY1" s="32"/>
      <c r="QZ1" s="32"/>
      <c r="RA1" s="32"/>
      <c r="RB1" s="32"/>
      <c r="RC1" s="32"/>
      <c r="RD1" s="32"/>
      <c r="RE1" s="32"/>
      <c r="RF1" s="32"/>
      <c r="RG1" s="32"/>
      <c r="RH1" s="32"/>
      <c r="RI1" s="32"/>
      <c r="RJ1" s="32"/>
      <c r="RK1" s="32"/>
      <c r="RL1" s="32"/>
      <c r="RM1" s="32"/>
      <c r="RN1" s="31">
        <v>46302</v>
      </c>
      <c r="RO1" s="32"/>
      <c r="RP1" s="32"/>
      <c r="RQ1" s="32"/>
      <c r="RR1" s="32"/>
      <c r="RS1" s="32"/>
      <c r="RT1" s="32"/>
      <c r="RU1" s="32"/>
      <c r="RV1" s="32"/>
      <c r="RW1" s="32"/>
      <c r="RX1" s="32"/>
      <c r="RY1" s="32"/>
      <c r="RZ1" s="32"/>
      <c r="SA1" s="32"/>
      <c r="SB1" s="32"/>
      <c r="SC1" s="32"/>
      <c r="SD1" s="32"/>
      <c r="SE1" s="32"/>
      <c r="SF1" s="32"/>
      <c r="SG1" s="32"/>
      <c r="SH1" s="32"/>
      <c r="SI1" s="32"/>
      <c r="SJ1" s="32"/>
      <c r="SK1" s="32"/>
      <c r="SL1" s="31">
        <v>46303</v>
      </c>
      <c r="SM1" s="32"/>
      <c r="SN1" s="32"/>
      <c r="SO1" s="32"/>
      <c r="SP1" s="32"/>
      <c r="SQ1" s="32"/>
      <c r="SR1" s="32"/>
      <c r="SS1" s="32"/>
      <c r="ST1" s="32"/>
      <c r="SU1" s="32"/>
      <c r="SV1" s="32"/>
      <c r="SW1" s="32"/>
      <c r="SX1" s="32"/>
      <c r="SY1" s="32"/>
      <c r="SZ1" s="32"/>
      <c r="TA1" s="32"/>
      <c r="TB1" s="32"/>
      <c r="TC1" s="32"/>
      <c r="TD1" s="32"/>
      <c r="TE1" s="32"/>
      <c r="TF1" s="32"/>
      <c r="TG1" s="32"/>
      <c r="TH1" s="32"/>
      <c r="TI1" s="32"/>
      <c r="TJ1" s="31">
        <v>46304</v>
      </c>
      <c r="TK1" s="32"/>
      <c r="TL1" s="32"/>
      <c r="TM1" s="32"/>
      <c r="TN1" s="32"/>
      <c r="TO1" s="32"/>
      <c r="TP1" s="32"/>
      <c r="TQ1" s="32"/>
      <c r="TR1" s="32"/>
      <c r="TS1" s="32"/>
      <c r="TT1" s="32"/>
      <c r="TU1" s="32"/>
      <c r="TV1" s="32"/>
      <c r="TW1" s="32"/>
      <c r="TX1" s="32"/>
      <c r="TY1" s="32"/>
      <c r="TZ1" s="32"/>
      <c r="UA1" s="32"/>
      <c r="UB1" s="32"/>
      <c r="UC1" s="32"/>
      <c r="UD1" s="32"/>
      <c r="UE1" s="32"/>
      <c r="UF1" s="32"/>
      <c r="UG1" s="32"/>
      <c r="UH1" s="31">
        <v>46305</v>
      </c>
      <c r="UI1" s="32"/>
      <c r="UJ1" s="32"/>
      <c r="UK1" s="32"/>
      <c r="UL1" s="32"/>
      <c r="UM1" s="32"/>
      <c r="UN1" s="32"/>
      <c r="UO1" s="32"/>
      <c r="UP1" s="32"/>
      <c r="UQ1" s="32"/>
      <c r="UR1" s="32"/>
      <c r="US1" s="32"/>
      <c r="UT1" s="32"/>
      <c r="UU1" s="32"/>
      <c r="UV1" s="32"/>
      <c r="UW1" s="32"/>
      <c r="UX1" s="32"/>
      <c r="UY1" s="32"/>
      <c r="UZ1" s="32"/>
      <c r="VA1" s="32"/>
      <c r="VB1" s="32"/>
      <c r="VC1" s="32"/>
      <c r="VD1" s="32"/>
      <c r="VE1" s="32"/>
      <c r="VF1" s="33">
        <v>46306</v>
      </c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1">
        <v>46307</v>
      </c>
      <c r="WE1" s="32"/>
      <c r="WF1" s="32"/>
      <c r="WG1" s="32"/>
      <c r="WH1" s="32"/>
      <c r="WI1" s="32"/>
      <c r="WJ1" s="32"/>
      <c r="WK1" s="32"/>
      <c r="WL1" s="32"/>
      <c r="WM1" s="32"/>
      <c r="WN1" s="32"/>
      <c r="WO1" s="32"/>
      <c r="WP1" s="32"/>
      <c r="WQ1" s="32"/>
      <c r="WR1" s="32"/>
      <c r="WS1" s="32"/>
      <c r="WT1" s="32"/>
      <c r="WU1" s="32"/>
      <c r="WV1" s="32"/>
      <c r="WW1" s="32"/>
      <c r="WX1" s="32"/>
      <c r="WY1" s="32"/>
      <c r="WZ1" s="32"/>
      <c r="XA1" s="32"/>
      <c r="XB1" s="31">
        <v>46308</v>
      </c>
      <c r="XC1" s="32"/>
      <c r="XD1" s="32"/>
      <c r="XE1" s="32"/>
      <c r="XF1" s="32"/>
      <c r="XG1" s="32"/>
      <c r="XH1" s="32"/>
      <c r="XI1" s="32"/>
      <c r="XJ1" s="32"/>
      <c r="XK1" s="32"/>
      <c r="XL1" s="32"/>
      <c r="XM1" s="32"/>
      <c r="XN1" s="32"/>
      <c r="XO1" s="32"/>
      <c r="XP1" s="32"/>
      <c r="XQ1" s="32"/>
      <c r="XR1" s="32"/>
      <c r="XS1" s="32"/>
      <c r="XT1" s="32"/>
      <c r="XU1" s="32"/>
      <c r="XV1" s="32"/>
      <c r="XW1" s="32"/>
      <c r="XX1" s="32"/>
      <c r="XY1" s="32"/>
      <c r="XZ1" s="31">
        <v>46309</v>
      </c>
      <c r="YA1" s="32"/>
      <c r="YB1" s="32"/>
      <c r="YC1" s="32"/>
      <c r="YD1" s="32"/>
      <c r="YE1" s="32"/>
      <c r="YF1" s="32"/>
      <c r="YG1" s="32"/>
      <c r="YH1" s="32"/>
      <c r="YI1" s="32"/>
      <c r="YJ1" s="32"/>
      <c r="YK1" s="32"/>
      <c r="YL1" s="32"/>
      <c r="YM1" s="32"/>
      <c r="YN1" s="32"/>
      <c r="YO1" s="32"/>
      <c r="YP1" s="32"/>
      <c r="YQ1" s="32"/>
      <c r="YR1" s="32"/>
      <c r="YS1" s="32"/>
      <c r="YT1" s="32"/>
      <c r="YU1" s="32"/>
      <c r="YV1" s="32"/>
      <c r="YW1" s="32"/>
      <c r="YX1" s="31">
        <v>46310</v>
      </c>
      <c r="YY1" s="32"/>
      <c r="YZ1" s="32"/>
      <c r="ZA1" s="32"/>
      <c r="ZB1" s="32"/>
      <c r="ZC1" s="32"/>
      <c r="ZD1" s="32"/>
      <c r="ZE1" s="32"/>
      <c r="ZF1" s="32"/>
      <c r="ZG1" s="32"/>
      <c r="ZH1" s="32"/>
      <c r="ZI1" s="32"/>
      <c r="ZJ1" s="32"/>
      <c r="ZK1" s="32"/>
      <c r="ZL1" s="32"/>
      <c r="ZM1" s="32"/>
      <c r="ZN1" s="32"/>
      <c r="ZO1" s="32"/>
      <c r="ZP1" s="32"/>
      <c r="ZQ1" s="32"/>
      <c r="ZR1" s="32"/>
      <c r="ZS1" s="32"/>
      <c r="ZT1" s="32"/>
      <c r="ZU1" s="32"/>
      <c r="ZV1" s="31">
        <v>46311</v>
      </c>
      <c r="ZW1" s="32"/>
      <c r="ZX1" s="32"/>
      <c r="ZY1" s="32"/>
      <c r="ZZ1" s="32"/>
      <c r="AAA1" s="32"/>
      <c r="AAB1" s="32"/>
      <c r="AAC1" s="32"/>
      <c r="AAD1" s="32"/>
      <c r="AAE1" s="32"/>
      <c r="AAF1" s="32"/>
      <c r="AAG1" s="32"/>
      <c r="AAH1" s="32"/>
      <c r="AAI1" s="32"/>
      <c r="AAJ1" s="32"/>
      <c r="AAK1" s="32"/>
      <c r="AAL1" s="32"/>
      <c r="AAM1" s="32"/>
      <c r="AAN1" s="32"/>
      <c r="AAO1" s="32"/>
      <c r="AAP1" s="32"/>
      <c r="AAQ1" s="32"/>
      <c r="AAR1" s="32"/>
      <c r="AAS1" s="32"/>
      <c r="AAT1" s="31">
        <v>46312</v>
      </c>
      <c r="AAU1" s="32"/>
      <c r="AAV1" s="32"/>
      <c r="AAW1" s="32"/>
      <c r="AAX1" s="32"/>
      <c r="AAY1" s="32"/>
      <c r="AAZ1" s="32"/>
      <c r="ABA1" s="32"/>
      <c r="ABB1" s="32"/>
      <c r="ABC1" s="32"/>
      <c r="ABD1" s="32"/>
      <c r="ABE1" s="32"/>
      <c r="ABF1" s="32"/>
      <c r="ABG1" s="32"/>
      <c r="ABH1" s="32"/>
      <c r="ABI1" s="32"/>
      <c r="ABJ1" s="32"/>
      <c r="ABK1" s="32"/>
      <c r="ABL1" s="32"/>
      <c r="ABM1" s="32"/>
      <c r="ABN1" s="32"/>
      <c r="ABO1" s="32"/>
      <c r="ABP1" s="32"/>
      <c r="ABQ1" s="32"/>
      <c r="ABR1" s="31">
        <v>46313</v>
      </c>
      <c r="ABS1" s="32"/>
      <c r="ABT1" s="32"/>
      <c r="ABU1" s="32"/>
      <c r="ABV1" s="32"/>
      <c r="ABW1" s="32"/>
      <c r="ABX1" s="32"/>
      <c r="ABY1" s="32"/>
      <c r="ABZ1" s="32"/>
      <c r="ACA1" s="32"/>
      <c r="ACB1" s="32"/>
      <c r="ACC1" s="32"/>
      <c r="ACD1" s="32"/>
      <c r="ACE1" s="32"/>
      <c r="ACF1" s="32"/>
      <c r="ACG1" s="32"/>
      <c r="ACH1" s="32"/>
      <c r="ACI1" s="32"/>
      <c r="ACJ1" s="32"/>
      <c r="ACK1" s="32"/>
      <c r="ACL1" s="32"/>
      <c r="ACM1" s="32"/>
      <c r="ACN1" s="32"/>
      <c r="ACO1" s="32"/>
    </row>
    <row r="2" spans="1:769" x14ac:dyDescent="0.25">
      <c r="A2" s="1" t="s">
        <v>8</v>
      </c>
      <c r="B2" s="2" t="s">
        <v>9</v>
      </c>
      <c r="C2" s="2" t="s">
        <v>9</v>
      </c>
      <c r="D2" s="2" t="s">
        <v>9</v>
      </c>
      <c r="E2" s="2" t="s">
        <v>9</v>
      </c>
      <c r="F2" s="2" t="s">
        <v>9</v>
      </c>
      <c r="G2" s="2" t="s">
        <v>9</v>
      </c>
      <c r="H2" s="2" t="s">
        <v>9</v>
      </c>
      <c r="I2" s="2" t="s">
        <v>9</v>
      </c>
      <c r="J2" s="2" t="s">
        <v>9</v>
      </c>
      <c r="K2" s="2" t="s">
        <v>9</v>
      </c>
      <c r="L2" s="2" t="s">
        <v>9</v>
      </c>
      <c r="M2" s="2" t="s">
        <v>9</v>
      </c>
      <c r="N2" s="2" t="s">
        <v>9</v>
      </c>
      <c r="O2" s="2" t="s">
        <v>9</v>
      </c>
      <c r="P2" s="2" t="s">
        <v>9</v>
      </c>
      <c r="Q2" s="2" t="s">
        <v>9</v>
      </c>
      <c r="R2" s="2" t="s">
        <v>9</v>
      </c>
      <c r="S2" s="2" t="s">
        <v>9</v>
      </c>
      <c r="T2" s="2" t="s">
        <v>9</v>
      </c>
      <c r="U2" s="2" t="s">
        <v>9</v>
      </c>
      <c r="V2" s="2" t="s">
        <v>9</v>
      </c>
      <c r="W2" s="2" t="s">
        <v>9</v>
      </c>
      <c r="X2" s="2" t="s">
        <v>9</v>
      </c>
      <c r="Y2" s="2" t="s">
        <v>9</v>
      </c>
      <c r="Z2" s="2" t="s">
        <v>9</v>
      </c>
      <c r="AA2" s="2" t="s">
        <v>9</v>
      </c>
      <c r="AB2" s="2" t="s">
        <v>9</v>
      </c>
      <c r="AC2" s="2" t="s">
        <v>9</v>
      </c>
      <c r="AD2" s="2" t="s">
        <v>9</v>
      </c>
      <c r="AE2" s="2" t="s">
        <v>9</v>
      </c>
      <c r="AF2" s="2" t="s">
        <v>9</v>
      </c>
      <c r="AG2" s="2" t="s">
        <v>9</v>
      </c>
      <c r="AH2" s="2" t="s">
        <v>9</v>
      </c>
      <c r="AI2" s="2" t="s">
        <v>9</v>
      </c>
      <c r="AJ2" s="2" t="s">
        <v>9</v>
      </c>
      <c r="AK2" s="2" t="s">
        <v>9</v>
      </c>
      <c r="AL2" s="2" t="s">
        <v>9</v>
      </c>
      <c r="AM2" s="2" t="s">
        <v>9</v>
      </c>
      <c r="AN2" s="2" t="s">
        <v>9</v>
      </c>
      <c r="AO2" s="2" t="s">
        <v>9</v>
      </c>
      <c r="AP2" s="2" t="s">
        <v>9</v>
      </c>
      <c r="AQ2" s="2" t="s">
        <v>9</v>
      </c>
      <c r="AR2" s="2" t="s">
        <v>9</v>
      </c>
      <c r="AS2" s="2" t="s">
        <v>9</v>
      </c>
      <c r="AT2" s="2" t="s">
        <v>9</v>
      </c>
      <c r="AU2" s="2" t="s">
        <v>9</v>
      </c>
      <c r="AV2" s="2" t="s">
        <v>9</v>
      </c>
      <c r="AW2" s="2" t="s">
        <v>9</v>
      </c>
      <c r="AX2" s="2" t="s">
        <v>9</v>
      </c>
      <c r="AY2" s="2" t="s">
        <v>9</v>
      </c>
      <c r="AZ2" s="2" t="s">
        <v>9</v>
      </c>
      <c r="BA2" s="2" t="s">
        <v>9</v>
      </c>
      <c r="BB2" s="2" t="s">
        <v>9</v>
      </c>
      <c r="BC2" s="2" t="s">
        <v>9</v>
      </c>
      <c r="BD2" s="2" t="s">
        <v>9</v>
      </c>
      <c r="BE2" s="2" t="s">
        <v>9</v>
      </c>
      <c r="BF2" s="2" t="s">
        <v>9</v>
      </c>
      <c r="BG2" s="2" t="s">
        <v>9</v>
      </c>
      <c r="BH2" s="2" t="s">
        <v>9</v>
      </c>
      <c r="BI2" s="2" t="s">
        <v>9</v>
      </c>
      <c r="BJ2" s="2" t="s">
        <v>9</v>
      </c>
      <c r="BK2" s="2" t="s">
        <v>9</v>
      </c>
      <c r="BL2" s="2" t="s">
        <v>9</v>
      </c>
      <c r="BM2" s="2" t="s">
        <v>9</v>
      </c>
      <c r="BN2" s="2" t="s">
        <v>9</v>
      </c>
      <c r="BO2" s="2" t="s">
        <v>9</v>
      </c>
      <c r="BP2" s="2" t="s">
        <v>9</v>
      </c>
      <c r="BQ2" s="2" t="s">
        <v>9</v>
      </c>
      <c r="BR2" s="2" t="s">
        <v>9</v>
      </c>
      <c r="BS2" s="2" t="s">
        <v>9</v>
      </c>
      <c r="BT2" s="2" t="s">
        <v>9</v>
      </c>
      <c r="BU2" s="2" t="s">
        <v>9</v>
      </c>
      <c r="BV2" s="2" t="s">
        <v>9</v>
      </c>
      <c r="BW2" s="2" t="s">
        <v>9</v>
      </c>
      <c r="BX2" s="2" t="s">
        <v>9</v>
      </c>
      <c r="BY2" s="2" t="s">
        <v>9</v>
      </c>
      <c r="BZ2" s="2" t="s">
        <v>9</v>
      </c>
      <c r="CA2" s="2" t="s">
        <v>9</v>
      </c>
      <c r="CB2" s="2" t="s">
        <v>9</v>
      </c>
      <c r="CC2" s="2" t="s">
        <v>9</v>
      </c>
      <c r="CD2" s="2" t="s">
        <v>9</v>
      </c>
      <c r="CE2" s="2" t="s">
        <v>9</v>
      </c>
      <c r="CF2" s="2" t="s">
        <v>9</v>
      </c>
      <c r="CG2" s="2" t="s">
        <v>9</v>
      </c>
      <c r="CH2" s="2" t="s">
        <v>9</v>
      </c>
      <c r="CI2" s="2" t="s">
        <v>9</v>
      </c>
      <c r="CJ2" s="2" t="s">
        <v>9</v>
      </c>
      <c r="CK2" s="2" t="s">
        <v>9</v>
      </c>
      <c r="CL2" s="2" t="s">
        <v>9</v>
      </c>
      <c r="CM2" s="2" t="s">
        <v>9</v>
      </c>
      <c r="CN2" s="2" t="s">
        <v>9</v>
      </c>
      <c r="CO2" s="2" t="s">
        <v>9</v>
      </c>
      <c r="CP2" s="2" t="s">
        <v>9</v>
      </c>
      <c r="CQ2" s="2" t="s">
        <v>9</v>
      </c>
      <c r="CR2" s="2" t="s">
        <v>9</v>
      </c>
      <c r="CS2" s="2" t="s">
        <v>9</v>
      </c>
      <c r="CT2" s="2" t="s">
        <v>9</v>
      </c>
      <c r="CU2" s="2" t="s">
        <v>9</v>
      </c>
      <c r="CV2" s="2" t="s">
        <v>9</v>
      </c>
      <c r="CW2" s="2" t="s">
        <v>9</v>
      </c>
      <c r="CX2" s="2" t="s">
        <v>9</v>
      </c>
      <c r="CY2" s="2" t="s">
        <v>9</v>
      </c>
      <c r="CZ2" s="2" t="s">
        <v>9</v>
      </c>
      <c r="DA2" s="2" t="s">
        <v>9</v>
      </c>
      <c r="DB2" s="2" t="s">
        <v>9</v>
      </c>
      <c r="DC2" s="2" t="s">
        <v>9</v>
      </c>
      <c r="DD2" s="2" t="s">
        <v>9</v>
      </c>
      <c r="DE2" s="2" t="s">
        <v>9</v>
      </c>
      <c r="DF2" s="2" t="s">
        <v>9</v>
      </c>
      <c r="DG2" s="2" t="s">
        <v>9</v>
      </c>
      <c r="DH2" s="2" t="s">
        <v>9</v>
      </c>
      <c r="DI2" s="2" t="s">
        <v>9</v>
      </c>
      <c r="DJ2" s="2" t="s">
        <v>9</v>
      </c>
      <c r="DK2" s="2" t="s">
        <v>9</v>
      </c>
      <c r="DL2" s="2" t="s">
        <v>9</v>
      </c>
      <c r="DM2" s="2" t="s">
        <v>9</v>
      </c>
      <c r="DN2" s="2" t="s">
        <v>9</v>
      </c>
      <c r="DO2" s="2" t="s">
        <v>9</v>
      </c>
      <c r="DP2" s="2" t="s">
        <v>9</v>
      </c>
      <c r="DQ2" s="2" t="s">
        <v>9</v>
      </c>
      <c r="DR2" s="2" t="s">
        <v>9</v>
      </c>
      <c r="DS2" s="2" t="s">
        <v>9</v>
      </c>
      <c r="DT2" s="2" t="s">
        <v>9</v>
      </c>
      <c r="DU2" s="2" t="s">
        <v>9</v>
      </c>
      <c r="DV2" s="2" t="s">
        <v>9</v>
      </c>
      <c r="DW2" s="2" t="s">
        <v>9</v>
      </c>
      <c r="DX2" s="2" t="s">
        <v>9</v>
      </c>
      <c r="DY2" s="2" t="s">
        <v>9</v>
      </c>
      <c r="DZ2" s="2" t="s">
        <v>9</v>
      </c>
      <c r="EA2" s="2" t="s">
        <v>9</v>
      </c>
      <c r="EB2" s="2" t="s">
        <v>9</v>
      </c>
      <c r="EC2" s="2" t="s">
        <v>9</v>
      </c>
      <c r="ED2" s="2" t="s">
        <v>9</v>
      </c>
      <c r="EE2" s="2" t="s">
        <v>9</v>
      </c>
      <c r="EF2" s="2" t="s">
        <v>9</v>
      </c>
      <c r="EG2" s="2" t="s">
        <v>9</v>
      </c>
      <c r="EH2" s="2" t="s">
        <v>9</v>
      </c>
      <c r="EI2" s="2" t="s">
        <v>9</v>
      </c>
      <c r="EJ2" s="2" t="s">
        <v>9</v>
      </c>
      <c r="EK2" s="2" t="s">
        <v>9</v>
      </c>
      <c r="EL2" s="2" t="s">
        <v>9</v>
      </c>
      <c r="EM2" s="2" t="s">
        <v>9</v>
      </c>
      <c r="EN2" s="2" t="s">
        <v>9</v>
      </c>
      <c r="EO2" s="2" t="s">
        <v>9</v>
      </c>
      <c r="EP2" s="2" t="s">
        <v>9</v>
      </c>
      <c r="EQ2" s="2" t="s">
        <v>9</v>
      </c>
      <c r="ER2" s="2" t="s">
        <v>9</v>
      </c>
      <c r="ES2" s="2" t="s">
        <v>9</v>
      </c>
      <c r="ET2" s="2" t="s">
        <v>9</v>
      </c>
      <c r="EU2" s="2" t="s">
        <v>9</v>
      </c>
      <c r="EV2" s="2" t="s">
        <v>9</v>
      </c>
      <c r="EW2" s="2" t="s">
        <v>9</v>
      </c>
      <c r="EX2" s="2" t="s">
        <v>9</v>
      </c>
      <c r="EY2" s="2" t="s">
        <v>9</v>
      </c>
      <c r="EZ2" s="2" t="s">
        <v>9</v>
      </c>
      <c r="FA2" s="2" t="s">
        <v>9</v>
      </c>
      <c r="FB2" s="2" t="s">
        <v>9</v>
      </c>
      <c r="FC2" s="2" t="s">
        <v>9</v>
      </c>
      <c r="FD2" s="2" t="s">
        <v>9</v>
      </c>
      <c r="FE2" s="2" t="s">
        <v>9</v>
      </c>
      <c r="FF2" s="2" t="s">
        <v>9</v>
      </c>
      <c r="FG2" s="2" t="s">
        <v>9</v>
      </c>
      <c r="FH2" s="2" t="s">
        <v>9</v>
      </c>
      <c r="FI2" s="2" t="s">
        <v>9</v>
      </c>
      <c r="FJ2" s="2" t="s">
        <v>9</v>
      </c>
      <c r="FK2" s="2" t="s">
        <v>9</v>
      </c>
      <c r="FL2" s="2" t="s">
        <v>9</v>
      </c>
      <c r="FM2" s="2" t="s">
        <v>9</v>
      </c>
      <c r="FN2" s="2" t="s">
        <v>9</v>
      </c>
      <c r="FO2" s="2" t="s">
        <v>9</v>
      </c>
      <c r="FP2" s="2" t="s">
        <v>9</v>
      </c>
      <c r="FQ2" s="2" t="s">
        <v>9</v>
      </c>
      <c r="FR2" s="2" t="s">
        <v>9</v>
      </c>
      <c r="FS2" s="2" t="s">
        <v>9</v>
      </c>
      <c r="FT2" s="2" t="s">
        <v>9</v>
      </c>
      <c r="FU2" s="2" t="s">
        <v>9</v>
      </c>
      <c r="FV2" s="2" t="s">
        <v>9</v>
      </c>
      <c r="FW2" s="2" t="s">
        <v>9</v>
      </c>
      <c r="FX2" s="2" t="s">
        <v>9</v>
      </c>
      <c r="FY2" s="2" t="s">
        <v>9</v>
      </c>
      <c r="FZ2" s="2" t="s">
        <v>9</v>
      </c>
      <c r="GA2" s="2" t="s">
        <v>9</v>
      </c>
      <c r="GB2" s="2" t="s">
        <v>9</v>
      </c>
      <c r="GC2" s="2" t="s">
        <v>9</v>
      </c>
      <c r="GD2" s="2" t="s">
        <v>9</v>
      </c>
      <c r="GE2" s="2" t="s">
        <v>9</v>
      </c>
      <c r="GF2" s="2" t="s">
        <v>9</v>
      </c>
      <c r="GG2" s="2" t="s">
        <v>9</v>
      </c>
      <c r="GH2" s="2" t="s">
        <v>9</v>
      </c>
      <c r="GI2" s="2" t="s">
        <v>9</v>
      </c>
      <c r="GJ2" s="2" t="s">
        <v>9</v>
      </c>
      <c r="GK2" s="2" t="s">
        <v>9</v>
      </c>
      <c r="GL2" s="2" t="s">
        <v>9</v>
      </c>
      <c r="GM2" s="2" t="s">
        <v>9</v>
      </c>
      <c r="GN2" s="2" t="s">
        <v>9</v>
      </c>
      <c r="GO2" s="2" t="s">
        <v>9</v>
      </c>
      <c r="GP2" s="2" t="s">
        <v>9</v>
      </c>
      <c r="GQ2" s="2" t="s">
        <v>9</v>
      </c>
      <c r="GR2" s="2" t="s">
        <v>9</v>
      </c>
      <c r="GS2" s="2" t="s">
        <v>9</v>
      </c>
      <c r="GT2" s="2" t="s">
        <v>9</v>
      </c>
      <c r="GU2" s="2" t="s">
        <v>9</v>
      </c>
      <c r="GV2" s="2" t="s">
        <v>9</v>
      </c>
      <c r="GW2" s="2" t="s">
        <v>9</v>
      </c>
      <c r="GX2" s="2" t="s">
        <v>9</v>
      </c>
      <c r="GY2" s="2" t="s">
        <v>9</v>
      </c>
      <c r="GZ2" s="2" t="s">
        <v>9</v>
      </c>
      <c r="HA2" s="2" t="s">
        <v>9</v>
      </c>
      <c r="HB2" s="2" t="s">
        <v>9</v>
      </c>
      <c r="HC2" s="2" t="s">
        <v>9</v>
      </c>
      <c r="HD2" s="2" t="s">
        <v>9</v>
      </c>
      <c r="HE2" s="2" t="s">
        <v>9</v>
      </c>
      <c r="HF2" s="2" t="s">
        <v>9</v>
      </c>
      <c r="HG2" s="2" t="s">
        <v>9</v>
      </c>
      <c r="HH2" s="2" t="s">
        <v>9</v>
      </c>
      <c r="HI2" s="2" t="s">
        <v>9</v>
      </c>
      <c r="HJ2" s="2" t="s">
        <v>9</v>
      </c>
      <c r="HK2" s="2" t="s">
        <v>9</v>
      </c>
      <c r="HL2" s="2" t="s">
        <v>9</v>
      </c>
      <c r="HM2" s="2" t="s">
        <v>9</v>
      </c>
      <c r="HN2" s="2" t="s">
        <v>9</v>
      </c>
      <c r="HO2" s="2" t="s">
        <v>9</v>
      </c>
      <c r="HP2" s="2" t="s">
        <v>9</v>
      </c>
      <c r="HQ2" s="2" t="s">
        <v>9</v>
      </c>
      <c r="HR2" s="2" t="s">
        <v>9</v>
      </c>
      <c r="HS2" s="2" t="s">
        <v>9</v>
      </c>
      <c r="HT2" s="2" t="s">
        <v>9</v>
      </c>
      <c r="HU2" s="2" t="s">
        <v>9</v>
      </c>
      <c r="HV2" s="2" t="s">
        <v>9</v>
      </c>
      <c r="HW2" s="2" t="s">
        <v>9</v>
      </c>
      <c r="HX2" s="2" t="s">
        <v>9</v>
      </c>
      <c r="HY2" s="2" t="s">
        <v>9</v>
      </c>
      <c r="HZ2" s="2" t="s">
        <v>9</v>
      </c>
      <c r="IA2" s="2" t="s">
        <v>9</v>
      </c>
      <c r="IB2" s="2" t="s">
        <v>9</v>
      </c>
      <c r="IC2" s="2" t="s">
        <v>9</v>
      </c>
      <c r="ID2" s="2" t="s">
        <v>9</v>
      </c>
      <c r="IE2" s="2" t="s">
        <v>9</v>
      </c>
      <c r="IF2" s="2" t="s">
        <v>9</v>
      </c>
      <c r="IG2" s="2" t="s">
        <v>9</v>
      </c>
      <c r="IH2" s="2" t="s">
        <v>9</v>
      </c>
      <c r="II2" s="2" t="s">
        <v>9</v>
      </c>
      <c r="IJ2" s="2" t="s">
        <v>9</v>
      </c>
      <c r="IK2" s="2" t="s">
        <v>9</v>
      </c>
      <c r="IL2" s="2" t="s">
        <v>9</v>
      </c>
      <c r="IM2" s="2" t="s">
        <v>9</v>
      </c>
      <c r="IN2" s="2" t="s">
        <v>9</v>
      </c>
      <c r="IO2" s="2" t="s">
        <v>9</v>
      </c>
      <c r="IP2" s="2" t="s">
        <v>9</v>
      </c>
      <c r="IQ2" s="2" t="s">
        <v>9</v>
      </c>
      <c r="IR2" s="2" t="s">
        <v>9</v>
      </c>
      <c r="IS2" s="2" t="s">
        <v>9</v>
      </c>
      <c r="IT2" s="2" t="s">
        <v>9</v>
      </c>
      <c r="IU2" s="2" t="s">
        <v>9</v>
      </c>
      <c r="IV2" s="2" t="s">
        <v>9</v>
      </c>
      <c r="IW2" s="2" t="s">
        <v>9</v>
      </c>
      <c r="IX2" s="2" t="s">
        <v>9</v>
      </c>
      <c r="IY2" s="2" t="s">
        <v>9</v>
      </c>
      <c r="IZ2" s="2" t="s">
        <v>9</v>
      </c>
      <c r="JA2" s="2" t="s">
        <v>9</v>
      </c>
      <c r="JB2" s="2" t="s">
        <v>9</v>
      </c>
      <c r="JC2" s="2" t="s">
        <v>9</v>
      </c>
      <c r="JD2" s="2" t="s">
        <v>9</v>
      </c>
      <c r="JE2" s="2" t="s">
        <v>9</v>
      </c>
      <c r="JF2" s="2" t="s">
        <v>9</v>
      </c>
      <c r="JG2" s="2" t="s">
        <v>9</v>
      </c>
      <c r="JH2" s="2" t="s">
        <v>9</v>
      </c>
      <c r="JI2" s="2" t="s">
        <v>9</v>
      </c>
      <c r="JJ2" s="2" t="s">
        <v>9</v>
      </c>
      <c r="JK2" s="2" t="s">
        <v>9</v>
      </c>
      <c r="JL2" s="2" t="s">
        <v>9</v>
      </c>
      <c r="JM2" s="2" t="s">
        <v>9</v>
      </c>
      <c r="JN2" s="2" t="s">
        <v>9</v>
      </c>
      <c r="JO2" s="2" t="s">
        <v>9</v>
      </c>
      <c r="JP2" s="2" t="s">
        <v>9</v>
      </c>
      <c r="JQ2" s="2" t="s">
        <v>9</v>
      </c>
      <c r="JR2" s="2" t="s">
        <v>9</v>
      </c>
      <c r="JS2" s="2" t="s">
        <v>9</v>
      </c>
      <c r="JT2" s="2" t="s">
        <v>9</v>
      </c>
      <c r="JU2" s="2" t="s">
        <v>9</v>
      </c>
      <c r="JV2" s="2" t="s">
        <v>9</v>
      </c>
      <c r="JW2" s="2" t="s">
        <v>9</v>
      </c>
      <c r="JX2" s="2" t="s">
        <v>9</v>
      </c>
      <c r="JY2" s="2" t="s">
        <v>9</v>
      </c>
      <c r="JZ2" s="2" t="s">
        <v>9</v>
      </c>
      <c r="KA2" s="2" t="s">
        <v>9</v>
      </c>
      <c r="KB2" s="2" t="s">
        <v>9</v>
      </c>
      <c r="KC2" s="2" t="s">
        <v>9</v>
      </c>
      <c r="KD2" s="2" t="s">
        <v>9</v>
      </c>
      <c r="KE2" s="2" t="s">
        <v>9</v>
      </c>
      <c r="KF2" s="2" t="s">
        <v>9</v>
      </c>
      <c r="KG2" s="2" t="s">
        <v>9</v>
      </c>
      <c r="KH2" s="2" t="s">
        <v>9</v>
      </c>
      <c r="KI2" s="2" t="s">
        <v>9</v>
      </c>
      <c r="KJ2" s="2" t="s">
        <v>9</v>
      </c>
      <c r="KK2" s="2" t="s">
        <v>9</v>
      </c>
      <c r="KL2" s="2" t="s">
        <v>9</v>
      </c>
      <c r="KM2" s="2" t="s">
        <v>9</v>
      </c>
      <c r="KN2" s="2" t="s">
        <v>9</v>
      </c>
      <c r="KO2" s="2" t="s">
        <v>9</v>
      </c>
      <c r="KP2" s="2" t="s">
        <v>9</v>
      </c>
      <c r="KQ2" s="2" t="s">
        <v>9</v>
      </c>
      <c r="KR2" s="2" t="s">
        <v>9</v>
      </c>
      <c r="KS2" s="2" t="s">
        <v>9</v>
      </c>
      <c r="KT2" s="2" t="s">
        <v>9</v>
      </c>
      <c r="KU2" s="2" t="s">
        <v>9</v>
      </c>
      <c r="KV2" s="2" t="s">
        <v>9</v>
      </c>
      <c r="KW2" s="2" t="s">
        <v>9</v>
      </c>
      <c r="KX2" s="2" t="s">
        <v>9</v>
      </c>
      <c r="KY2" s="2" t="s">
        <v>9</v>
      </c>
      <c r="KZ2" s="2" t="s">
        <v>9</v>
      </c>
      <c r="LA2" s="2" t="s">
        <v>9</v>
      </c>
      <c r="LB2" s="2" t="s">
        <v>9</v>
      </c>
      <c r="LC2" s="2" t="s">
        <v>9</v>
      </c>
      <c r="LD2" s="2" t="s">
        <v>9</v>
      </c>
      <c r="LE2" s="2" t="s">
        <v>9</v>
      </c>
      <c r="LF2" s="2" t="s">
        <v>9</v>
      </c>
      <c r="LG2" s="2" t="s">
        <v>9</v>
      </c>
      <c r="LH2" s="2" t="s">
        <v>9</v>
      </c>
      <c r="LI2" s="2" t="s">
        <v>9</v>
      </c>
      <c r="LJ2" s="2" t="s">
        <v>9</v>
      </c>
      <c r="LK2" s="2" t="s">
        <v>9</v>
      </c>
      <c r="LL2" s="2" t="s">
        <v>9</v>
      </c>
      <c r="LM2" s="2" t="s">
        <v>9</v>
      </c>
      <c r="LN2" s="2" t="s">
        <v>9</v>
      </c>
      <c r="LO2" s="2" t="s">
        <v>9</v>
      </c>
      <c r="LP2" s="2" t="s">
        <v>9</v>
      </c>
      <c r="LQ2" s="2" t="s">
        <v>9</v>
      </c>
      <c r="LR2" s="2" t="s">
        <v>9</v>
      </c>
      <c r="LS2" s="2" t="s">
        <v>9</v>
      </c>
      <c r="LT2" s="2" t="s">
        <v>9</v>
      </c>
      <c r="LU2" s="2" t="s">
        <v>9</v>
      </c>
      <c r="LV2" s="2" t="s">
        <v>9</v>
      </c>
      <c r="LW2" s="2" t="s">
        <v>9</v>
      </c>
      <c r="LX2" s="2" t="s">
        <v>9</v>
      </c>
      <c r="LY2" s="2" t="s">
        <v>9</v>
      </c>
      <c r="LZ2" s="2" t="s">
        <v>9</v>
      </c>
      <c r="MA2" s="2" t="s">
        <v>9</v>
      </c>
      <c r="MB2" s="2" t="s">
        <v>9</v>
      </c>
      <c r="MC2" s="2" t="s">
        <v>9</v>
      </c>
      <c r="MD2" s="2" t="s">
        <v>9</v>
      </c>
      <c r="ME2" s="2" t="s">
        <v>9</v>
      </c>
      <c r="MF2" s="2" t="s">
        <v>9</v>
      </c>
      <c r="MG2" s="2" t="s">
        <v>9</v>
      </c>
      <c r="MH2" s="2" t="s">
        <v>9</v>
      </c>
      <c r="MI2" s="2" t="s">
        <v>9</v>
      </c>
      <c r="MJ2" s="2" t="s">
        <v>9</v>
      </c>
      <c r="MK2" s="2" t="s">
        <v>9</v>
      </c>
      <c r="ML2" s="2" t="s">
        <v>9</v>
      </c>
      <c r="MM2" s="2" t="s">
        <v>9</v>
      </c>
      <c r="MN2" s="2" t="s">
        <v>9</v>
      </c>
      <c r="MO2" s="2" t="s">
        <v>9</v>
      </c>
      <c r="MP2" s="2" t="s">
        <v>9</v>
      </c>
      <c r="MQ2" s="2" t="s">
        <v>9</v>
      </c>
      <c r="MR2" s="2" t="s">
        <v>9</v>
      </c>
      <c r="MS2" s="2" t="s">
        <v>9</v>
      </c>
      <c r="MT2" s="2" t="s">
        <v>9</v>
      </c>
      <c r="MU2" s="2" t="s">
        <v>9</v>
      </c>
      <c r="MV2" s="2" t="s">
        <v>9</v>
      </c>
      <c r="MW2" s="2" t="s">
        <v>9</v>
      </c>
      <c r="MX2" s="2" t="s">
        <v>9</v>
      </c>
      <c r="MY2" s="2" t="s">
        <v>9</v>
      </c>
      <c r="MZ2" s="2" t="s">
        <v>9</v>
      </c>
      <c r="NA2" s="2" t="s">
        <v>9</v>
      </c>
      <c r="NB2" s="2" t="s">
        <v>9</v>
      </c>
      <c r="NC2" s="2" t="s">
        <v>9</v>
      </c>
      <c r="ND2" s="2" t="s">
        <v>9</v>
      </c>
      <c r="NE2" s="2" t="s">
        <v>9</v>
      </c>
      <c r="NF2" s="2" t="s">
        <v>9</v>
      </c>
      <c r="NG2" s="2" t="s">
        <v>9</v>
      </c>
      <c r="NH2" s="2" t="s">
        <v>9</v>
      </c>
      <c r="NI2" s="2" t="s">
        <v>9</v>
      </c>
      <c r="NJ2" s="2" t="s">
        <v>9</v>
      </c>
      <c r="NK2" s="2" t="s">
        <v>9</v>
      </c>
      <c r="NL2" s="2" t="s">
        <v>9</v>
      </c>
      <c r="NM2" s="2" t="s">
        <v>9</v>
      </c>
      <c r="NN2" s="2" t="s">
        <v>9</v>
      </c>
      <c r="NO2" s="2" t="s">
        <v>9</v>
      </c>
      <c r="NP2" s="2" t="s">
        <v>9</v>
      </c>
      <c r="NQ2" s="2" t="s">
        <v>9</v>
      </c>
      <c r="NR2" s="2" t="s">
        <v>9</v>
      </c>
      <c r="NS2" s="2" t="s">
        <v>9</v>
      </c>
      <c r="NT2" s="2" t="s">
        <v>9</v>
      </c>
      <c r="NU2" s="2" t="s">
        <v>9</v>
      </c>
      <c r="NV2" s="2" t="s">
        <v>9</v>
      </c>
      <c r="NW2" s="2" t="s">
        <v>9</v>
      </c>
      <c r="NX2" s="2" t="s">
        <v>9</v>
      </c>
      <c r="NY2" s="2" t="s">
        <v>9</v>
      </c>
      <c r="NZ2" s="2" t="s">
        <v>9</v>
      </c>
      <c r="OA2" s="2" t="s">
        <v>9</v>
      </c>
      <c r="OB2" s="2" t="s">
        <v>9</v>
      </c>
      <c r="OC2" s="2" t="s">
        <v>9</v>
      </c>
      <c r="OD2" s="2" t="s">
        <v>9</v>
      </c>
      <c r="OE2" s="2" t="s">
        <v>9</v>
      </c>
      <c r="OF2" s="2" t="s">
        <v>9</v>
      </c>
      <c r="OG2" s="2" t="s">
        <v>9</v>
      </c>
      <c r="OH2" s="2" t="s">
        <v>9</v>
      </c>
      <c r="OI2" s="2" t="s">
        <v>9</v>
      </c>
      <c r="OJ2" s="2" t="s">
        <v>9</v>
      </c>
      <c r="OK2" s="2" t="s">
        <v>9</v>
      </c>
      <c r="OL2" s="2" t="s">
        <v>9</v>
      </c>
      <c r="OM2" s="2" t="s">
        <v>9</v>
      </c>
      <c r="ON2" s="2" t="s">
        <v>9</v>
      </c>
      <c r="OO2" s="2" t="s">
        <v>9</v>
      </c>
      <c r="OP2" s="2" t="s">
        <v>9</v>
      </c>
      <c r="OQ2" s="2" t="s">
        <v>9</v>
      </c>
      <c r="OR2" s="2" t="s">
        <v>9</v>
      </c>
      <c r="OS2" s="2" t="s">
        <v>9</v>
      </c>
      <c r="OT2" s="2" t="s">
        <v>9</v>
      </c>
      <c r="OU2" s="2" t="s">
        <v>9</v>
      </c>
      <c r="OV2" s="2" t="s">
        <v>9</v>
      </c>
      <c r="OW2" s="2" t="s">
        <v>9</v>
      </c>
      <c r="OX2" s="2" t="s">
        <v>9</v>
      </c>
      <c r="OY2" s="2" t="s">
        <v>9</v>
      </c>
      <c r="OZ2" s="2" t="s">
        <v>9</v>
      </c>
      <c r="PA2" s="2" t="s">
        <v>9</v>
      </c>
      <c r="PB2" s="2" t="s">
        <v>9</v>
      </c>
      <c r="PC2" s="2" t="s">
        <v>9</v>
      </c>
      <c r="PD2" s="2" t="s">
        <v>9</v>
      </c>
      <c r="PE2" s="2" t="s">
        <v>9</v>
      </c>
      <c r="PF2" s="2" t="s">
        <v>9</v>
      </c>
      <c r="PG2" s="2" t="s">
        <v>9</v>
      </c>
      <c r="PH2" s="2" t="s">
        <v>9</v>
      </c>
      <c r="PI2" s="2" t="s">
        <v>9</v>
      </c>
      <c r="PJ2" s="2" t="s">
        <v>9</v>
      </c>
      <c r="PK2" s="2" t="s">
        <v>9</v>
      </c>
      <c r="PL2" s="2" t="s">
        <v>9</v>
      </c>
      <c r="PM2" s="2" t="s">
        <v>9</v>
      </c>
      <c r="PN2" s="2" t="s">
        <v>9</v>
      </c>
      <c r="PO2" s="2" t="s">
        <v>9</v>
      </c>
      <c r="PP2" s="2" t="s">
        <v>9</v>
      </c>
      <c r="PQ2" s="2" t="s">
        <v>9</v>
      </c>
      <c r="PR2" s="2" t="s">
        <v>9</v>
      </c>
      <c r="PS2" s="2" t="s">
        <v>9</v>
      </c>
      <c r="PT2" s="2" t="s">
        <v>9</v>
      </c>
      <c r="PU2" s="2" t="s">
        <v>9</v>
      </c>
      <c r="PV2" s="2" t="s">
        <v>9</v>
      </c>
      <c r="PW2" s="2" t="s">
        <v>9</v>
      </c>
      <c r="PX2" s="2" t="s">
        <v>9</v>
      </c>
      <c r="PY2" s="2" t="s">
        <v>9</v>
      </c>
      <c r="PZ2" s="2" t="s">
        <v>9</v>
      </c>
      <c r="QA2" s="2" t="s">
        <v>9</v>
      </c>
      <c r="QB2" s="2" t="s">
        <v>9</v>
      </c>
      <c r="QC2" s="2" t="s">
        <v>9</v>
      </c>
      <c r="QD2" s="2" t="s">
        <v>9</v>
      </c>
      <c r="QE2" s="2" t="s">
        <v>9</v>
      </c>
      <c r="QF2" s="2" t="s">
        <v>9</v>
      </c>
      <c r="QG2" s="2" t="s">
        <v>9</v>
      </c>
      <c r="QH2" s="2" t="s">
        <v>9</v>
      </c>
      <c r="QI2" s="2" t="s">
        <v>9</v>
      </c>
      <c r="QJ2" s="2" t="s">
        <v>9</v>
      </c>
      <c r="QK2" s="2" t="s">
        <v>9</v>
      </c>
      <c r="QL2" s="2" t="s">
        <v>9</v>
      </c>
      <c r="QM2" s="2" t="s">
        <v>9</v>
      </c>
      <c r="QN2" s="2" t="s">
        <v>9</v>
      </c>
      <c r="QO2" s="2" t="s">
        <v>9</v>
      </c>
      <c r="QP2" s="2" t="s">
        <v>9</v>
      </c>
      <c r="QQ2" s="2" t="s">
        <v>9</v>
      </c>
      <c r="QR2" s="2" t="s">
        <v>9</v>
      </c>
      <c r="QS2" s="2" t="s">
        <v>9</v>
      </c>
      <c r="QT2" s="2" t="s">
        <v>9</v>
      </c>
      <c r="QU2" s="2" t="s">
        <v>9</v>
      </c>
      <c r="QV2" s="2" t="s">
        <v>9</v>
      </c>
      <c r="QW2" s="2" t="s">
        <v>9</v>
      </c>
      <c r="QX2" s="2" t="s">
        <v>9</v>
      </c>
      <c r="QY2" s="2" t="s">
        <v>9</v>
      </c>
      <c r="QZ2" s="2" t="s">
        <v>9</v>
      </c>
      <c r="RA2" s="2" t="s">
        <v>9</v>
      </c>
      <c r="RB2" s="2" t="s">
        <v>9</v>
      </c>
      <c r="RC2" s="2" t="s">
        <v>9</v>
      </c>
      <c r="RD2" s="2" t="s">
        <v>9</v>
      </c>
      <c r="RE2" s="2" t="s">
        <v>9</v>
      </c>
      <c r="RF2" s="2" t="s">
        <v>9</v>
      </c>
      <c r="RG2" s="2" t="s">
        <v>9</v>
      </c>
      <c r="RH2" s="2" t="s">
        <v>9</v>
      </c>
      <c r="RI2" s="2" t="s">
        <v>9</v>
      </c>
      <c r="RJ2" s="2" t="s">
        <v>9</v>
      </c>
      <c r="RK2" s="2" t="s">
        <v>9</v>
      </c>
      <c r="RL2" s="2" t="s">
        <v>9</v>
      </c>
      <c r="RM2" s="2" t="s">
        <v>9</v>
      </c>
      <c r="RN2" s="2" t="s">
        <v>9</v>
      </c>
      <c r="RO2" s="2" t="s">
        <v>9</v>
      </c>
      <c r="RP2" s="2" t="s">
        <v>9</v>
      </c>
      <c r="RQ2" s="2" t="s">
        <v>9</v>
      </c>
      <c r="RR2" s="2" t="s">
        <v>9</v>
      </c>
      <c r="RS2" s="2" t="s">
        <v>9</v>
      </c>
      <c r="RT2" s="2" t="s">
        <v>9</v>
      </c>
      <c r="RU2" s="2" t="s">
        <v>9</v>
      </c>
      <c r="RV2" s="2" t="s">
        <v>9</v>
      </c>
      <c r="RW2" s="2" t="s">
        <v>9</v>
      </c>
      <c r="RX2" s="2" t="s">
        <v>9</v>
      </c>
      <c r="RY2" s="2" t="s">
        <v>9</v>
      </c>
      <c r="RZ2" s="2" t="s">
        <v>9</v>
      </c>
      <c r="SA2" s="2" t="s">
        <v>9</v>
      </c>
      <c r="SB2" s="2" t="s">
        <v>9</v>
      </c>
      <c r="SC2" s="2" t="s">
        <v>9</v>
      </c>
      <c r="SD2" s="2" t="s">
        <v>9</v>
      </c>
      <c r="SE2" s="2" t="s">
        <v>9</v>
      </c>
      <c r="SF2" s="2" t="s">
        <v>9</v>
      </c>
      <c r="SG2" s="2" t="s">
        <v>9</v>
      </c>
      <c r="SH2" s="2" t="s">
        <v>9</v>
      </c>
      <c r="SI2" s="2" t="s">
        <v>9</v>
      </c>
      <c r="SJ2" s="2" t="s">
        <v>9</v>
      </c>
      <c r="SK2" s="2" t="s">
        <v>9</v>
      </c>
      <c r="SL2" s="2" t="s">
        <v>9</v>
      </c>
      <c r="SM2" s="2" t="s">
        <v>9</v>
      </c>
      <c r="SN2" s="2" t="s">
        <v>9</v>
      </c>
      <c r="SO2" s="2" t="s">
        <v>9</v>
      </c>
      <c r="SP2" s="2" t="s">
        <v>9</v>
      </c>
      <c r="SQ2" s="2" t="s">
        <v>9</v>
      </c>
      <c r="SR2" s="2" t="s">
        <v>9</v>
      </c>
      <c r="SS2" s="2" t="s">
        <v>9</v>
      </c>
      <c r="ST2" s="2" t="s">
        <v>9</v>
      </c>
      <c r="SU2" s="2" t="s">
        <v>9</v>
      </c>
      <c r="SV2" s="2" t="s">
        <v>9</v>
      </c>
      <c r="SW2" s="2" t="s">
        <v>9</v>
      </c>
      <c r="SX2" s="2" t="s">
        <v>9</v>
      </c>
      <c r="SY2" s="2" t="s">
        <v>9</v>
      </c>
      <c r="SZ2" s="2" t="s">
        <v>9</v>
      </c>
      <c r="TA2" s="2" t="s">
        <v>9</v>
      </c>
      <c r="TB2" s="2" t="s">
        <v>9</v>
      </c>
      <c r="TC2" s="2" t="s">
        <v>9</v>
      </c>
      <c r="TD2" s="2" t="s">
        <v>9</v>
      </c>
      <c r="TE2" s="2" t="s">
        <v>9</v>
      </c>
      <c r="TF2" s="2" t="s">
        <v>9</v>
      </c>
      <c r="TG2" s="2" t="s">
        <v>9</v>
      </c>
      <c r="TH2" s="2" t="s">
        <v>9</v>
      </c>
      <c r="TI2" s="2" t="s">
        <v>9</v>
      </c>
      <c r="TJ2" s="2" t="s">
        <v>9</v>
      </c>
      <c r="TK2" s="2" t="s">
        <v>9</v>
      </c>
      <c r="TL2" s="2" t="s">
        <v>9</v>
      </c>
      <c r="TM2" s="2" t="s">
        <v>9</v>
      </c>
      <c r="TN2" s="2" t="s">
        <v>9</v>
      </c>
      <c r="TO2" s="2" t="s">
        <v>9</v>
      </c>
      <c r="TP2" s="2" t="s">
        <v>9</v>
      </c>
      <c r="TQ2" s="2" t="s">
        <v>9</v>
      </c>
      <c r="TR2" s="2" t="s">
        <v>9</v>
      </c>
      <c r="TS2" s="2" t="s">
        <v>9</v>
      </c>
      <c r="TT2" s="2" t="s">
        <v>9</v>
      </c>
      <c r="TU2" s="2" t="s">
        <v>9</v>
      </c>
      <c r="TV2" s="2" t="s">
        <v>9</v>
      </c>
      <c r="TW2" s="2" t="s">
        <v>9</v>
      </c>
      <c r="TX2" s="2" t="s">
        <v>9</v>
      </c>
      <c r="TY2" s="2" t="s">
        <v>9</v>
      </c>
      <c r="TZ2" s="2" t="s">
        <v>9</v>
      </c>
      <c r="UA2" s="2" t="s">
        <v>9</v>
      </c>
      <c r="UB2" s="2" t="s">
        <v>9</v>
      </c>
      <c r="UC2" s="2" t="s">
        <v>9</v>
      </c>
      <c r="UD2" s="2" t="s">
        <v>9</v>
      </c>
      <c r="UE2" s="2" t="s">
        <v>9</v>
      </c>
      <c r="UF2" s="2" t="s">
        <v>9</v>
      </c>
      <c r="UG2" s="2" t="s">
        <v>9</v>
      </c>
      <c r="UH2" s="2" t="s">
        <v>9</v>
      </c>
      <c r="UI2" s="2" t="s">
        <v>9</v>
      </c>
      <c r="UJ2" s="2" t="s">
        <v>9</v>
      </c>
      <c r="UK2" s="2" t="s">
        <v>9</v>
      </c>
      <c r="UL2" s="2" t="s">
        <v>9</v>
      </c>
      <c r="UM2" s="2" t="s">
        <v>9</v>
      </c>
      <c r="UN2" s="2" t="s">
        <v>9</v>
      </c>
      <c r="UO2" s="2" t="s">
        <v>9</v>
      </c>
      <c r="UP2" s="2" t="s">
        <v>9</v>
      </c>
      <c r="UQ2" s="2" t="s">
        <v>9</v>
      </c>
      <c r="UR2" s="2" t="s">
        <v>9</v>
      </c>
      <c r="US2" s="2" t="s">
        <v>9</v>
      </c>
      <c r="UT2" s="2" t="s">
        <v>9</v>
      </c>
      <c r="UU2" s="2" t="s">
        <v>9</v>
      </c>
      <c r="UV2" s="2" t="s">
        <v>9</v>
      </c>
      <c r="UW2" s="2" t="s">
        <v>9</v>
      </c>
      <c r="UX2" s="2" t="s">
        <v>9</v>
      </c>
      <c r="UY2" s="2" t="s">
        <v>9</v>
      </c>
      <c r="UZ2" s="2" t="s">
        <v>9</v>
      </c>
      <c r="VA2" s="2" t="s">
        <v>9</v>
      </c>
      <c r="VB2" s="2" t="s">
        <v>9</v>
      </c>
      <c r="VC2" s="2" t="s">
        <v>9</v>
      </c>
      <c r="VD2" s="2" t="s">
        <v>9</v>
      </c>
      <c r="VE2" s="2" t="s">
        <v>9</v>
      </c>
      <c r="VF2" s="2" t="s">
        <v>9</v>
      </c>
      <c r="VG2" s="2" t="s">
        <v>9</v>
      </c>
      <c r="VH2" s="2" t="s">
        <v>9</v>
      </c>
      <c r="VI2" s="2" t="s">
        <v>9</v>
      </c>
      <c r="VJ2" s="2" t="s">
        <v>9</v>
      </c>
      <c r="VK2" s="2" t="s">
        <v>9</v>
      </c>
      <c r="VL2" s="2" t="s">
        <v>9</v>
      </c>
      <c r="VM2" s="2" t="s">
        <v>9</v>
      </c>
      <c r="VN2" s="2" t="s">
        <v>9</v>
      </c>
      <c r="VO2" s="2" t="s">
        <v>9</v>
      </c>
      <c r="VP2" s="2" t="s">
        <v>9</v>
      </c>
      <c r="VQ2" s="2" t="s">
        <v>9</v>
      </c>
      <c r="VR2" s="2" t="s">
        <v>9</v>
      </c>
      <c r="VS2" s="2" t="s">
        <v>9</v>
      </c>
      <c r="VT2" s="2" t="s">
        <v>9</v>
      </c>
      <c r="VU2" s="2" t="s">
        <v>9</v>
      </c>
      <c r="VV2" s="2" t="s">
        <v>9</v>
      </c>
      <c r="VW2" s="2" t="s">
        <v>9</v>
      </c>
      <c r="VX2" s="2" t="s">
        <v>9</v>
      </c>
      <c r="VY2" s="2" t="s">
        <v>9</v>
      </c>
      <c r="VZ2" s="2" t="s">
        <v>9</v>
      </c>
      <c r="WA2" s="2" t="s">
        <v>9</v>
      </c>
      <c r="WB2" s="2" t="s">
        <v>9</v>
      </c>
      <c r="WC2" s="2" t="s">
        <v>9</v>
      </c>
      <c r="WD2" s="2" t="s">
        <v>9</v>
      </c>
      <c r="WE2" s="2" t="s">
        <v>9</v>
      </c>
      <c r="WF2" s="2" t="s">
        <v>9</v>
      </c>
      <c r="WG2" s="2" t="s">
        <v>9</v>
      </c>
      <c r="WH2" s="2" t="s">
        <v>9</v>
      </c>
      <c r="WI2" s="2" t="s">
        <v>9</v>
      </c>
      <c r="WJ2" s="2" t="s">
        <v>9</v>
      </c>
      <c r="WK2" s="2" t="s">
        <v>9</v>
      </c>
      <c r="WL2" s="2" t="s">
        <v>9</v>
      </c>
      <c r="WM2" s="2" t="s">
        <v>9</v>
      </c>
      <c r="WN2" s="2" t="s">
        <v>9</v>
      </c>
      <c r="WO2" s="2" t="s">
        <v>9</v>
      </c>
      <c r="WP2" s="2" t="s">
        <v>9</v>
      </c>
      <c r="WQ2" s="2" t="s">
        <v>9</v>
      </c>
      <c r="WR2" s="2" t="s">
        <v>9</v>
      </c>
      <c r="WS2" s="2" t="s">
        <v>9</v>
      </c>
      <c r="WT2" s="2" t="s">
        <v>9</v>
      </c>
      <c r="WU2" s="2" t="s">
        <v>9</v>
      </c>
      <c r="WV2" s="2" t="s">
        <v>9</v>
      </c>
      <c r="WW2" s="2" t="s">
        <v>9</v>
      </c>
      <c r="WX2" s="2" t="s">
        <v>9</v>
      </c>
      <c r="WY2" s="2" t="s">
        <v>9</v>
      </c>
      <c r="WZ2" s="2" t="s">
        <v>9</v>
      </c>
      <c r="XA2" s="2" t="s">
        <v>9</v>
      </c>
      <c r="XB2" s="2" t="s">
        <v>9</v>
      </c>
      <c r="XC2" s="2" t="s">
        <v>9</v>
      </c>
      <c r="XD2" s="2" t="s">
        <v>9</v>
      </c>
      <c r="XE2" s="2" t="s">
        <v>9</v>
      </c>
      <c r="XF2" s="2" t="s">
        <v>9</v>
      </c>
      <c r="XG2" s="2" t="s">
        <v>9</v>
      </c>
      <c r="XH2" s="2" t="s">
        <v>9</v>
      </c>
      <c r="XI2" s="2" t="s">
        <v>9</v>
      </c>
      <c r="XJ2" s="2" t="s">
        <v>9</v>
      </c>
      <c r="XK2" s="2" t="s">
        <v>9</v>
      </c>
      <c r="XL2" s="2" t="s">
        <v>9</v>
      </c>
      <c r="XM2" s="2" t="s">
        <v>9</v>
      </c>
      <c r="XN2" s="2" t="s">
        <v>9</v>
      </c>
      <c r="XO2" s="2" t="s">
        <v>9</v>
      </c>
      <c r="XP2" s="2" t="s">
        <v>9</v>
      </c>
      <c r="XQ2" s="2" t="s">
        <v>9</v>
      </c>
      <c r="XR2" s="2" t="s">
        <v>9</v>
      </c>
      <c r="XS2" s="2" t="s">
        <v>9</v>
      </c>
      <c r="XT2" s="2" t="s">
        <v>9</v>
      </c>
      <c r="XU2" s="2" t="s">
        <v>9</v>
      </c>
      <c r="XV2" s="2" t="s">
        <v>9</v>
      </c>
      <c r="XW2" s="2" t="s">
        <v>9</v>
      </c>
      <c r="XX2" s="2" t="s">
        <v>9</v>
      </c>
      <c r="XY2" s="2" t="s">
        <v>9</v>
      </c>
      <c r="XZ2" s="2" t="s">
        <v>9</v>
      </c>
      <c r="YA2" s="2" t="s">
        <v>9</v>
      </c>
      <c r="YB2" s="2" t="s">
        <v>9</v>
      </c>
      <c r="YC2" s="2" t="s">
        <v>9</v>
      </c>
      <c r="YD2" s="2" t="s">
        <v>9</v>
      </c>
      <c r="YE2" s="2" t="s">
        <v>9</v>
      </c>
      <c r="YF2" s="2" t="s">
        <v>9</v>
      </c>
      <c r="YG2" s="2" t="s">
        <v>9</v>
      </c>
      <c r="YH2" s="2" t="s">
        <v>9</v>
      </c>
      <c r="YI2" s="2" t="s">
        <v>9</v>
      </c>
      <c r="YJ2" s="2" t="s">
        <v>9</v>
      </c>
      <c r="YK2" s="2" t="s">
        <v>9</v>
      </c>
      <c r="YL2" s="2" t="s">
        <v>9</v>
      </c>
      <c r="YM2" s="2" t="s">
        <v>9</v>
      </c>
      <c r="YN2" s="2" t="s">
        <v>9</v>
      </c>
      <c r="YO2" s="2" t="s">
        <v>9</v>
      </c>
      <c r="YP2" s="2" t="s">
        <v>9</v>
      </c>
      <c r="YQ2" s="2" t="s">
        <v>9</v>
      </c>
      <c r="YR2" s="2" t="s">
        <v>9</v>
      </c>
      <c r="YS2" s="2" t="s">
        <v>9</v>
      </c>
      <c r="YT2" s="2" t="s">
        <v>9</v>
      </c>
      <c r="YU2" s="2" t="s">
        <v>9</v>
      </c>
      <c r="YV2" s="2" t="s">
        <v>9</v>
      </c>
      <c r="YW2" s="2" t="s">
        <v>9</v>
      </c>
      <c r="YX2" s="2" t="s">
        <v>9</v>
      </c>
      <c r="YY2" s="2" t="s">
        <v>9</v>
      </c>
      <c r="YZ2" s="2" t="s">
        <v>9</v>
      </c>
      <c r="ZA2" s="2" t="s">
        <v>9</v>
      </c>
      <c r="ZB2" s="2" t="s">
        <v>9</v>
      </c>
      <c r="ZC2" s="2" t="s">
        <v>9</v>
      </c>
      <c r="ZD2" s="2" t="s">
        <v>9</v>
      </c>
      <c r="ZE2" s="2" t="s">
        <v>9</v>
      </c>
      <c r="ZF2" s="2" t="s">
        <v>9</v>
      </c>
      <c r="ZG2" s="2" t="s">
        <v>9</v>
      </c>
      <c r="ZH2" s="2" t="s">
        <v>9</v>
      </c>
      <c r="ZI2" s="2" t="s">
        <v>9</v>
      </c>
      <c r="ZJ2" s="2" t="s">
        <v>9</v>
      </c>
      <c r="ZK2" s="2" t="s">
        <v>9</v>
      </c>
      <c r="ZL2" s="2" t="s">
        <v>9</v>
      </c>
      <c r="ZM2" s="2" t="s">
        <v>9</v>
      </c>
      <c r="ZN2" s="2" t="s">
        <v>9</v>
      </c>
      <c r="ZO2" s="2" t="s">
        <v>9</v>
      </c>
      <c r="ZP2" s="2" t="s">
        <v>9</v>
      </c>
      <c r="ZQ2" s="2" t="s">
        <v>9</v>
      </c>
      <c r="ZR2" s="2" t="s">
        <v>9</v>
      </c>
      <c r="ZS2" s="2" t="s">
        <v>9</v>
      </c>
      <c r="ZT2" s="2" t="s">
        <v>9</v>
      </c>
      <c r="ZU2" s="2" t="s">
        <v>9</v>
      </c>
      <c r="ZV2" s="2" t="s">
        <v>9</v>
      </c>
      <c r="ZW2" s="2" t="s">
        <v>9</v>
      </c>
      <c r="ZX2" s="2" t="s">
        <v>9</v>
      </c>
      <c r="ZY2" s="2" t="s">
        <v>9</v>
      </c>
      <c r="ZZ2" s="2" t="s">
        <v>9</v>
      </c>
      <c r="AAA2" s="2" t="s">
        <v>9</v>
      </c>
      <c r="AAB2" s="2" t="s">
        <v>9</v>
      </c>
      <c r="AAC2" s="2" t="s">
        <v>9</v>
      </c>
      <c r="AAD2" s="2" t="s">
        <v>9</v>
      </c>
      <c r="AAE2" s="2" t="s">
        <v>9</v>
      </c>
      <c r="AAF2" s="2" t="s">
        <v>9</v>
      </c>
      <c r="AAG2" s="2" t="s">
        <v>9</v>
      </c>
      <c r="AAH2" s="2" t="s">
        <v>9</v>
      </c>
      <c r="AAI2" s="2" t="s">
        <v>9</v>
      </c>
      <c r="AAJ2" s="2" t="s">
        <v>9</v>
      </c>
      <c r="AAK2" s="2" t="s">
        <v>9</v>
      </c>
      <c r="AAL2" s="2" t="s">
        <v>9</v>
      </c>
      <c r="AAM2" s="2" t="s">
        <v>9</v>
      </c>
      <c r="AAN2" s="2" t="s">
        <v>9</v>
      </c>
      <c r="AAO2" s="2" t="s">
        <v>9</v>
      </c>
      <c r="AAP2" s="2" t="s">
        <v>9</v>
      </c>
      <c r="AAQ2" s="2" t="s">
        <v>9</v>
      </c>
      <c r="AAR2" s="2" t="s">
        <v>9</v>
      </c>
      <c r="AAS2" s="2" t="s">
        <v>9</v>
      </c>
      <c r="AAT2" s="2" t="s">
        <v>9</v>
      </c>
      <c r="AAU2" s="2" t="s">
        <v>9</v>
      </c>
      <c r="AAV2" s="2" t="s">
        <v>9</v>
      </c>
      <c r="AAW2" s="2" t="s">
        <v>9</v>
      </c>
      <c r="AAX2" s="2" t="s">
        <v>9</v>
      </c>
      <c r="AAY2" s="2" t="s">
        <v>9</v>
      </c>
      <c r="AAZ2" s="2" t="s">
        <v>9</v>
      </c>
      <c r="ABA2" s="2" t="s">
        <v>9</v>
      </c>
      <c r="ABB2" s="2" t="s">
        <v>9</v>
      </c>
      <c r="ABC2" s="2" t="s">
        <v>9</v>
      </c>
      <c r="ABD2" s="2" t="s">
        <v>9</v>
      </c>
      <c r="ABE2" s="2" t="s">
        <v>9</v>
      </c>
      <c r="ABF2" s="2" t="s">
        <v>9</v>
      </c>
      <c r="ABG2" s="2" t="s">
        <v>9</v>
      </c>
      <c r="ABH2" s="2" t="s">
        <v>9</v>
      </c>
      <c r="ABI2" s="2" t="s">
        <v>9</v>
      </c>
      <c r="ABJ2" s="2" t="s">
        <v>9</v>
      </c>
      <c r="ABK2" s="2" t="s">
        <v>9</v>
      </c>
      <c r="ABL2" s="2" t="s">
        <v>9</v>
      </c>
      <c r="ABM2" s="2" t="s">
        <v>9</v>
      </c>
      <c r="ABN2" s="2" t="s">
        <v>9</v>
      </c>
      <c r="ABO2" s="2" t="s">
        <v>9</v>
      </c>
      <c r="ABP2" s="2" t="s">
        <v>9</v>
      </c>
      <c r="ABQ2" s="2" t="s">
        <v>9</v>
      </c>
      <c r="ABR2" s="2" t="s">
        <v>9</v>
      </c>
      <c r="ABS2" s="2" t="s">
        <v>9</v>
      </c>
      <c r="ABT2" s="2" t="s">
        <v>9</v>
      </c>
      <c r="ABU2" s="2" t="s">
        <v>9</v>
      </c>
      <c r="ABV2" s="2" t="s">
        <v>9</v>
      </c>
      <c r="ABW2" s="2" t="s">
        <v>9</v>
      </c>
      <c r="ABX2" s="2" t="s">
        <v>9</v>
      </c>
      <c r="ABY2" s="2" t="s">
        <v>9</v>
      </c>
      <c r="ABZ2" s="2" t="s">
        <v>9</v>
      </c>
      <c r="ACA2" s="2" t="s">
        <v>9</v>
      </c>
      <c r="ACB2" s="2" t="s">
        <v>9</v>
      </c>
      <c r="ACC2" s="2" t="s">
        <v>9</v>
      </c>
      <c r="ACD2" s="2" t="s">
        <v>9</v>
      </c>
      <c r="ACE2" s="2" t="s">
        <v>9</v>
      </c>
      <c r="ACF2" s="2" t="s">
        <v>9</v>
      </c>
      <c r="ACG2" s="2" t="s">
        <v>9</v>
      </c>
      <c r="ACH2" s="2" t="s">
        <v>9</v>
      </c>
      <c r="ACI2" s="2" t="s">
        <v>9</v>
      </c>
      <c r="ACJ2" s="2" t="s">
        <v>9</v>
      </c>
      <c r="ACK2" s="2" t="s">
        <v>9</v>
      </c>
      <c r="ACL2" s="2" t="s">
        <v>9</v>
      </c>
      <c r="ACM2" s="2" t="s">
        <v>9</v>
      </c>
      <c r="ACN2" s="2" t="s">
        <v>9</v>
      </c>
      <c r="ACO2" s="2" t="s">
        <v>9</v>
      </c>
    </row>
    <row r="3" spans="1:769" x14ac:dyDescent="0.25">
      <c r="A3" s="1" t="s">
        <v>10</v>
      </c>
      <c r="B3" s="3" t="s">
        <v>11</v>
      </c>
      <c r="C3" s="3" t="s">
        <v>12</v>
      </c>
      <c r="D3" s="3" t="s">
        <v>13</v>
      </c>
      <c r="E3" s="3" t="s">
        <v>14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19</v>
      </c>
      <c r="K3" s="3" t="s">
        <v>20</v>
      </c>
      <c r="L3" s="3" t="s">
        <v>21</v>
      </c>
      <c r="M3" s="3" t="s">
        <v>22</v>
      </c>
      <c r="N3" s="3" t="s">
        <v>23</v>
      </c>
      <c r="O3" s="3" t="s">
        <v>24</v>
      </c>
      <c r="P3" s="3" t="s">
        <v>25</v>
      </c>
      <c r="Q3" s="3" t="s">
        <v>26</v>
      </c>
      <c r="R3" s="3" t="s">
        <v>27</v>
      </c>
      <c r="S3" s="3" t="s">
        <v>28</v>
      </c>
      <c r="T3" s="3" t="s">
        <v>29</v>
      </c>
      <c r="U3" s="3" t="s">
        <v>30</v>
      </c>
      <c r="V3" s="3" t="s">
        <v>31</v>
      </c>
      <c r="W3" s="3" t="s">
        <v>32</v>
      </c>
      <c r="X3" s="3" t="s">
        <v>33</v>
      </c>
      <c r="Y3" s="3" t="s">
        <v>34</v>
      </c>
      <c r="Z3" s="3" t="s">
        <v>11</v>
      </c>
      <c r="AA3" s="3" t="s">
        <v>12</v>
      </c>
      <c r="AB3" s="3" t="s">
        <v>13</v>
      </c>
      <c r="AC3" s="3" t="s">
        <v>14</v>
      </c>
      <c r="AD3" s="3" t="s">
        <v>15</v>
      </c>
      <c r="AE3" s="3" t="s">
        <v>16</v>
      </c>
      <c r="AF3" s="3" t="s">
        <v>17</v>
      </c>
      <c r="AG3" s="3" t="s">
        <v>18</v>
      </c>
      <c r="AH3" s="3" t="s">
        <v>19</v>
      </c>
      <c r="AI3" s="3" t="s">
        <v>20</v>
      </c>
      <c r="AJ3" s="3" t="s">
        <v>21</v>
      </c>
      <c r="AK3" s="3" t="s">
        <v>22</v>
      </c>
      <c r="AL3" s="3" t="s">
        <v>23</v>
      </c>
      <c r="AM3" s="3" t="s">
        <v>24</v>
      </c>
      <c r="AN3" s="3" t="s">
        <v>25</v>
      </c>
      <c r="AO3" s="3" t="s">
        <v>26</v>
      </c>
      <c r="AP3" s="3" t="s">
        <v>27</v>
      </c>
      <c r="AQ3" s="3" t="s">
        <v>28</v>
      </c>
      <c r="AR3" s="3" t="s">
        <v>29</v>
      </c>
      <c r="AS3" s="3" t="s">
        <v>30</v>
      </c>
      <c r="AT3" s="3" t="s">
        <v>31</v>
      </c>
      <c r="AU3" s="3" t="s">
        <v>32</v>
      </c>
      <c r="AV3" s="3" t="s">
        <v>33</v>
      </c>
      <c r="AW3" s="3" t="s">
        <v>34</v>
      </c>
      <c r="AX3" s="3" t="s">
        <v>11</v>
      </c>
      <c r="AY3" s="3" t="s">
        <v>12</v>
      </c>
      <c r="AZ3" s="3" t="s">
        <v>13</v>
      </c>
      <c r="BA3" s="3" t="s">
        <v>14</v>
      </c>
      <c r="BB3" s="3" t="s">
        <v>15</v>
      </c>
      <c r="BC3" s="3" t="s">
        <v>16</v>
      </c>
      <c r="BD3" s="3" t="s">
        <v>17</v>
      </c>
      <c r="BE3" s="3" t="s">
        <v>18</v>
      </c>
      <c r="BF3" s="3" t="s">
        <v>19</v>
      </c>
      <c r="BG3" s="3" t="s">
        <v>20</v>
      </c>
      <c r="BH3" s="3" t="s">
        <v>21</v>
      </c>
      <c r="BI3" s="3" t="s">
        <v>22</v>
      </c>
      <c r="BJ3" s="3" t="s">
        <v>23</v>
      </c>
      <c r="BK3" s="3" t="s">
        <v>24</v>
      </c>
      <c r="BL3" s="3" t="s">
        <v>25</v>
      </c>
      <c r="BM3" s="3" t="s">
        <v>26</v>
      </c>
      <c r="BN3" s="3" t="s">
        <v>27</v>
      </c>
      <c r="BO3" s="3" t="s">
        <v>28</v>
      </c>
      <c r="BP3" s="3" t="s">
        <v>29</v>
      </c>
      <c r="BQ3" s="3" t="s">
        <v>30</v>
      </c>
      <c r="BR3" s="3" t="s">
        <v>31</v>
      </c>
      <c r="BS3" s="3" t="s">
        <v>32</v>
      </c>
      <c r="BT3" s="3" t="s">
        <v>33</v>
      </c>
      <c r="BU3" s="3" t="s">
        <v>34</v>
      </c>
      <c r="BV3" s="3" t="s">
        <v>11</v>
      </c>
      <c r="BW3" s="3" t="s">
        <v>12</v>
      </c>
      <c r="BX3" s="3" t="s">
        <v>13</v>
      </c>
      <c r="BY3" s="3" t="s">
        <v>14</v>
      </c>
      <c r="BZ3" s="3" t="s">
        <v>15</v>
      </c>
      <c r="CA3" s="3" t="s">
        <v>16</v>
      </c>
      <c r="CB3" s="3" t="s">
        <v>17</v>
      </c>
      <c r="CC3" s="3" t="s">
        <v>18</v>
      </c>
      <c r="CD3" s="3" t="s">
        <v>19</v>
      </c>
      <c r="CE3" s="3" t="s">
        <v>20</v>
      </c>
      <c r="CF3" s="3" t="s">
        <v>21</v>
      </c>
      <c r="CG3" s="3" t="s">
        <v>22</v>
      </c>
      <c r="CH3" s="3" t="s">
        <v>23</v>
      </c>
      <c r="CI3" s="3" t="s">
        <v>24</v>
      </c>
      <c r="CJ3" s="3" t="s">
        <v>25</v>
      </c>
      <c r="CK3" s="3" t="s">
        <v>26</v>
      </c>
      <c r="CL3" s="3" t="s">
        <v>27</v>
      </c>
      <c r="CM3" s="3" t="s">
        <v>28</v>
      </c>
      <c r="CN3" s="3" t="s">
        <v>29</v>
      </c>
      <c r="CO3" s="3" t="s">
        <v>30</v>
      </c>
      <c r="CP3" s="3" t="s">
        <v>31</v>
      </c>
      <c r="CQ3" s="3" t="s">
        <v>32</v>
      </c>
      <c r="CR3" s="3" t="s">
        <v>33</v>
      </c>
      <c r="CS3" s="3" t="s">
        <v>34</v>
      </c>
      <c r="CT3" s="3" t="s">
        <v>11</v>
      </c>
      <c r="CU3" s="3" t="s">
        <v>12</v>
      </c>
      <c r="CV3" s="3" t="s">
        <v>13</v>
      </c>
      <c r="CW3" s="3" t="s">
        <v>14</v>
      </c>
      <c r="CX3" s="3" t="s">
        <v>15</v>
      </c>
      <c r="CY3" s="3" t="s">
        <v>16</v>
      </c>
      <c r="CZ3" s="3" t="s">
        <v>17</v>
      </c>
      <c r="DA3" s="3" t="s">
        <v>18</v>
      </c>
      <c r="DB3" s="3" t="s">
        <v>19</v>
      </c>
      <c r="DC3" s="3" t="s">
        <v>20</v>
      </c>
      <c r="DD3" s="3" t="s">
        <v>21</v>
      </c>
      <c r="DE3" s="3" t="s">
        <v>22</v>
      </c>
      <c r="DF3" s="3" t="s">
        <v>23</v>
      </c>
      <c r="DG3" s="3" t="s">
        <v>24</v>
      </c>
      <c r="DH3" s="3" t="s">
        <v>25</v>
      </c>
      <c r="DI3" s="3" t="s">
        <v>26</v>
      </c>
      <c r="DJ3" s="3" t="s">
        <v>27</v>
      </c>
      <c r="DK3" s="3" t="s">
        <v>28</v>
      </c>
      <c r="DL3" s="3" t="s">
        <v>29</v>
      </c>
      <c r="DM3" s="3" t="s">
        <v>30</v>
      </c>
      <c r="DN3" s="3" t="s">
        <v>31</v>
      </c>
      <c r="DO3" s="3" t="s">
        <v>32</v>
      </c>
      <c r="DP3" s="3" t="s">
        <v>33</v>
      </c>
      <c r="DQ3" s="3" t="s">
        <v>34</v>
      </c>
      <c r="DR3" s="3" t="s">
        <v>11</v>
      </c>
      <c r="DS3" s="3" t="s">
        <v>12</v>
      </c>
      <c r="DT3" s="3" t="s">
        <v>13</v>
      </c>
      <c r="DU3" s="3" t="s">
        <v>14</v>
      </c>
      <c r="DV3" s="3" t="s">
        <v>15</v>
      </c>
      <c r="DW3" s="3" t="s">
        <v>16</v>
      </c>
      <c r="DX3" s="3" t="s">
        <v>17</v>
      </c>
      <c r="DY3" s="3" t="s">
        <v>18</v>
      </c>
      <c r="DZ3" s="3" t="s">
        <v>19</v>
      </c>
      <c r="EA3" s="3" t="s">
        <v>20</v>
      </c>
      <c r="EB3" s="3" t="s">
        <v>21</v>
      </c>
      <c r="EC3" s="3" t="s">
        <v>22</v>
      </c>
      <c r="ED3" s="3" t="s">
        <v>23</v>
      </c>
      <c r="EE3" s="3" t="s">
        <v>24</v>
      </c>
      <c r="EF3" s="3" t="s">
        <v>25</v>
      </c>
      <c r="EG3" s="3" t="s">
        <v>26</v>
      </c>
      <c r="EH3" s="3" t="s">
        <v>27</v>
      </c>
      <c r="EI3" s="3" t="s">
        <v>28</v>
      </c>
      <c r="EJ3" s="3" t="s">
        <v>29</v>
      </c>
      <c r="EK3" s="3" t="s">
        <v>30</v>
      </c>
      <c r="EL3" s="3" t="s">
        <v>31</v>
      </c>
      <c r="EM3" s="3" t="s">
        <v>32</v>
      </c>
      <c r="EN3" s="3" t="s">
        <v>33</v>
      </c>
      <c r="EO3" s="3" t="s">
        <v>34</v>
      </c>
      <c r="EP3" s="3" t="s">
        <v>11</v>
      </c>
      <c r="EQ3" s="3" t="s">
        <v>12</v>
      </c>
      <c r="ER3" s="3" t="s">
        <v>13</v>
      </c>
      <c r="ES3" s="3" t="s">
        <v>14</v>
      </c>
      <c r="ET3" s="3" t="s">
        <v>15</v>
      </c>
      <c r="EU3" s="3" t="s">
        <v>16</v>
      </c>
      <c r="EV3" s="3" t="s">
        <v>17</v>
      </c>
      <c r="EW3" s="3" t="s">
        <v>18</v>
      </c>
      <c r="EX3" s="3" t="s">
        <v>19</v>
      </c>
      <c r="EY3" s="3" t="s">
        <v>20</v>
      </c>
      <c r="EZ3" s="3" t="s">
        <v>21</v>
      </c>
      <c r="FA3" s="3" t="s">
        <v>22</v>
      </c>
      <c r="FB3" s="3" t="s">
        <v>23</v>
      </c>
      <c r="FC3" s="3" t="s">
        <v>24</v>
      </c>
      <c r="FD3" s="3" t="s">
        <v>25</v>
      </c>
      <c r="FE3" s="3" t="s">
        <v>26</v>
      </c>
      <c r="FF3" s="3" t="s">
        <v>27</v>
      </c>
      <c r="FG3" s="3" t="s">
        <v>28</v>
      </c>
      <c r="FH3" s="3" t="s">
        <v>29</v>
      </c>
      <c r="FI3" s="3" t="s">
        <v>30</v>
      </c>
      <c r="FJ3" s="3" t="s">
        <v>31</v>
      </c>
      <c r="FK3" s="3" t="s">
        <v>32</v>
      </c>
      <c r="FL3" s="3" t="s">
        <v>33</v>
      </c>
      <c r="FM3" s="3" t="s">
        <v>34</v>
      </c>
      <c r="FN3" s="3" t="s">
        <v>11</v>
      </c>
      <c r="FO3" s="3" t="s">
        <v>12</v>
      </c>
      <c r="FP3" s="3" t="s">
        <v>13</v>
      </c>
      <c r="FQ3" s="3" t="s">
        <v>14</v>
      </c>
      <c r="FR3" s="3" t="s">
        <v>15</v>
      </c>
      <c r="FS3" s="3" t="s">
        <v>16</v>
      </c>
      <c r="FT3" s="3" t="s">
        <v>17</v>
      </c>
      <c r="FU3" s="3" t="s">
        <v>18</v>
      </c>
      <c r="FV3" s="3" t="s">
        <v>19</v>
      </c>
      <c r="FW3" s="3" t="s">
        <v>20</v>
      </c>
      <c r="FX3" s="3" t="s">
        <v>21</v>
      </c>
      <c r="FY3" s="3" t="s">
        <v>22</v>
      </c>
      <c r="FZ3" s="3" t="s">
        <v>23</v>
      </c>
      <c r="GA3" s="3" t="s">
        <v>24</v>
      </c>
      <c r="GB3" s="3" t="s">
        <v>25</v>
      </c>
      <c r="GC3" s="3" t="s">
        <v>26</v>
      </c>
      <c r="GD3" s="3" t="s">
        <v>27</v>
      </c>
      <c r="GE3" s="3" t="s">
        <v>28</v>
      </c>
      <c r="GF3" s="3" t="s">
        <v>29</v>
      </c>
      <c r="GG3" s="3" t="s">
        <v>30</v>
      </c>
      <c r="GH3" s="3" t="s">
        <v>31</v>
      </c>
      <c r="GI3" s="3" t="s">
        <v>32</v>
      </c>
      <c r="GJ3" s="3" t="s">
        <v>33</v>
      </c>
      <c r="GK3" s="3" t="s">
        <v>34</v>
      </c>
      <c r="GL3" s="3" t="s">
        <v>11</v>
      </c>
      <c r="GM3" s="3" t="s">
        <v>12</v>
      </c>
      <c r="GN3" s="3" t="s">
        <v>13</v>
      </c>
      <c r="GO3" s="3" t="s">
        <v>14</v>
      </c>
      <c r="GP3" s="3" t="s">
        <v>15</v>
      </c>
      <c r="GQ3" s="3" t="s">
        <v>16</v>
      </c>
      <c r="GR3" s="3" t="s">
        <v>17</v>
      </c>
      <c r="GS3" s="3" t="s">
        <v>18</v>
      </c>
      <c r="GT3" s="3" t="s">
        <v>19</v>
      </c>
      <c r="GU3" s="3" t="s">
        <v>20</v>
      </c>
      <c r="GV3" s="3" t="s">
        <v>21</v>
      </c>
      <c r="GW3" s="3" t="s">
        <v>22</v>
      </c>
      <c r="GX3" s="3" t="s">
        <v>23</v>
      </c>
      <c r="GY3" s="3" t="s">
        <v>24</v>
      </c>
      <c r="GZ3" s="3" t="s">
        <v>25</v>
      </c>
      <c r="HA3" s="3" t="s">
        <v>26</v>
      </c>
      <c r="HB3" s="3" t="s">
        <v>27</v>
      </c>
      <c r="HC3" s="3" t="s">
        <v>28</v>
      </c>
      <c r="HD3" s="3" t="s">
        <v>29</v>
      </c>
      <c r="HE3" s="3" t="s">
        <v>30</v>
      </c>
      <c r="HF3" s="3" t="s">
        <v>31</v>
      </c>
      <c r="HG3" s="3" t="s">
        <v>32</v>
      </c>
      <c r="HH3" s="3" t="s">
        <v>33</v>
      </c>
      <c r="HI3" s="3" t="s">
        <v>34</v>
      </c>
      <c r="HJ3" s="3" t="s">
        <v>11</v>
      </c>
      <c r="HK3" s="3" t="s">
        <v>12</v>
      </c>
      <c r="HL3" s="3" t="s">
        <v>13</v>
      </c>
      <c r="HM3" s="3" t="s">
        <v>14</v>
      </c>
      <c r="HN3" s="3" t="s">
        <v>15</v>
      </c>
      <c r="HO3" s="3" t="s">
        <v>16</v>
      </c>
      <c r="HP3" s="3" t="s">
        <v>17</v>
      </c>
      <c r="HQ3" s="3" t="s">
        <v>18</v>
      </c>
      <c r="HR3" s="3" t="s">
        <v>19</v>
      </c>
      <c r="HS3" s="3" t="s">
        <v>20</v>
      </c>
      <c r="HT3" s="3" t="s">
        <v>21</v>
      </c>
      <c r="HU3" s="3" t="s">
        <v>22</v>
      </c>
      <c r="HV3" s="3" t="s">
        <v>23</v>
      </c>
      <c r="HW3" s="3" t="s">
        <v>24</v>
      </c>
      <c r="HX3" s="3" t="s">
        <v>25</v>
      </c>
      <c r="HY3" s="3" t="s">
        <v>26</v>
      </c>
      <c r="HZ3" s="3" t="s">
        <v>27</v>
      </c>
      <c r="IA3" s="3" t="s">
        <v>28</v>
      </c>
      <c r="IB3" s="3" t="s">
        <v>29</v>
      </c>
      <c r="IC3" s="3" t="s">
        <v>30</v>
      </c>
      <c r="ID3" s="3" t="s">
        <v>31</v>
      </c>
      <c r="IE3" s="3" t="s">
        <v>32</v>
      </c>
      <c r="IF3" s="3" t="s">
        <v>33</v>
      </c>
      <c r="IG3" s="3" t="s">
        <v>34</v>
      </c>
      <c r="IH3" s="3" t="s">
        <v>11</v>
      </c>
      <c r="II3" s="3" t="s">
        <v>12</v>
      </c>
      <c r="IJ3" s="3" t="s">
        <v>13</v>
      </c>
      <c r="IK3" s="3" t="s">
        <v>14</v>
      </c>
      <c r="IL3" s="3" t="s">
        <v>15</v>
      </c>
      <c r="IM3" s="3" t="s">
        <v>16</v>
      </c>
      <c r="IN3" s="3" t="s">
        <v>17</v>
      </c>
      <c r="IO3" s="3" t="s">
        <v>18</v>
      </c>
      <c r="IP3" s="3" t="s">
        <v>19</v>
      </c>
      <c r="IQ3" s="3" t="s">
        <v>20</v>
      </c>
      <c r="IR3" s="3" t="s">
        <v>21</v>
      </c>
      <c r="IS3" s="3" t="s">
        <v>22</v>
      </c>
      <c r="IT3" s="3" t="s">
        <v>23</v>
      </c>
      <c r="IU3" s="3" t="s">
        <v>24</v>
      </c>
      <c r="IV3" s="3" t="s">
        <v>25</v>
      </c>
      <c r="IW3" s="3" t="s">
        <v>26</v>
      </c>
      <c r="IX3" s="3" t="s">
        <v>27</v>
      </c>
      <c r="IY3" s="3" t="s">
        <v>28</v>
      </c>
      <c r="IZ3" s="3" t="s">
        <v>29</v>
      </c>
      <c r="JA3" s="3" t="s">
        <v>30</v>
      </c>
      <c r="JB3" s="3" t="s">
        <v>31</v>
      </c>
      <c r="JC3" s="3" t="s">
        <v>32</v>
      </c>
      <c r="JD3" s="3" t="s">
        <v>33</v>
      </c>
      <c r="JE3" s="3" t="s">
        <v>34</v>
      </c>
      <c r="JF3" s="3" t="s">
        <v>11</v>
      </c>
      <c r="JG3" s="3" t="s">
        <v>12</v>
      </c>
      <c r="JH3" s="3" t="s">
        <v>13</v>
      </c>
      <c r="JI3" s="3" t="s">
        <v>14</v>
      </c>
      <c r="JJ3" s="3" t="s">
        <v>15</v>
      </c>
      <c r="JK3" s="3" t="s">
        <v>16</v>
      </c>
      <c r="JL3" s="3" t="s">
        <v>17</v>
      </c>
      <c r="JM3" s="3" t="s">
        <v>18</v>
      </c>
      <c r="JN3" s="3" t="s">
        <v>19</v>
      </c>
      <c r="JO3" s="3" t="s">
        <v>20</v>
      </c>
      <c r="JP3" s="3" t="s">
        <v>21</v>
      </c>
      <c r="JQ3" s="3" t="s">
        <v>22</v>
      </c>
      <c r="JR3" s="3" t="s">
        <v>23</v>
      </c>
      <c r="JS3" s="3" t="s">
        <v>24</v>
      </c>
      <c r="JT3" s="3" t="s">
        <v>25</v>
      </c>
      <c r="JU3" s="3" t="s">
        <v>26</v>
      </c>
      <c r="JV3" s="3" t="s">
        <v>27</v>
      </c>
      <c r="JW3" s="3" t="s">
        <v>28</v>
      </c>
      <c r="JX3" s="3" t="s">
        <v>29</v>
      </c>
      <c r="JY3" s="3" t="s">
        <v>30</v>
      </c>
      <c r="JZ3" s="3" t="s">
        <v>31</v>
      </c>
      <c r="KA3" s="3" t="s">
        <v>32</v>
      </c>
      <c r="KB3" s="3" t="s">
        <v>33</v>
      </c>
      <c r="KC3" s="3" t="s">
        <v>34</v>
      </c>
      <c r="KD3" s="3" t="s">
        <v>11</v>
      </c>
      <c r="KE3" s="3" t="s">
        <v>12</v>
      </c>
      <c r="KF3" s="3" t="s">
        <v>13</v>
      </c>
      <c r="KG3" s="3" t="s">
        <v>14</v>
      </c>
      <c r="KH3" s="3" t="s">
        <v>15</v>
      </c>
      <c r="KI3" s="3" t="s">
        <v>16</v>
      </c>
      <c r="KJ3" s="3" t="s">
        <v>17</v>
      </c>
      <c r="KK3" s="3" t="s">
        <v>18</v>
      </c>
      <c r="KL3" s="3" t="s">
        <v>19</v>
      </c>
      <c r="KM3" s="3" t="s">
        <v>20</v>
      </c>
      <c r="KN3" s="3" t="s">
        <v>21</v>
      </c>
      <c r="KO3" s="3" t="s">
        <v>22</v>
      </c>
      <c r="KP3" s="3" t="s">
        <v>23</v>
      </c>
      <c r="KQ3" s="3" t="s">
        <v>24</v>
      </c>
      <c r="KR3" s="3" t="s">
        <v>25</v>
      </c>
      <c r="KS3" s="3" t="s">
        <v>26</v>
      </c>
      <c r="KT3" s="3" t="s">
        <v>27</v>
      </c>
      <c r="KU3" s="3" t="s">
        <v>28</v>
      </c>
      <c r="KV3" s="3" t="s">
        <v>29</v>
      </c>
      <c r="KW3" s="3" t="s">
        <v>30</v>
      </c>
      <c r="KX3" s="3" t="s">
        <v>31</v>
      </c>
      <c r="KY3" s="3" t="s">
        <v>32</v>
      </c>
      <c r="KZ3" s="3" t="s">
        <v>33</v>
      </c>
      <c r="LA3" s="3" t="s">
        <v>34</v>
      </c>
      <c r="LB3" s="3" t="s">
        <v>11</v>
      </c>
      <c r="LC3" s="3" t="s">
        <v>12</v>
      </c>
      <c r="LD3" s="3" t="s">
        <v>13</v>
      </c>
      <c r="LE3" s="3" t="s">
        <v>14</v>
      </c>
      <c r="LF3" s="3" t="s">
        <v>15</v>
      </c>
      <c r="LG3" s="3" t="s">
        <v>16</v>
      </c>
      <c r="LH3" s="3" t="s">
        <v>17</v>
      </c>
      <c r="LI3" s="3" t="s">
        <v>18</v>
      </c>
      <c r="LJ3" s="3" t="s">
        <v>19</v>
      </c>
      <c r="LK3" s="3" t="s">
        <v>20</v>
      </c>
      <c r="LL3" s="3" t="s">
        <v>21</v>
      </c>
      <c r="LM3" s="3" t="s">
        <v>22</v>
      </c>
      <c r="LN3" s="3" t="s">
        <v>23</v>
      </c>
      <c r="LO3" s="3" t="s">
        <v>24</v>
      </c>
      <c r="LP3" s="3" t="s">
        <v>25</v>
      </c>
      <c r="LQ3" s="3" t="s">
        <v>26</v>
      </c>
      <c r="LR3" s="3" t="s">
        <v>27</v>
      </c>
      <c r="LS3" s="3" t="s">
        <v>28</v>
      </c>
      <c r="LT3" s="3" t="s">
        <v>29</v>
      </c>
      <c r="LU3" s="3" t="s">
        <v>30</v>
      </c>
      <c r="LV3" s="3" t="s">
        <v>31</v>
      </c>
      <c r="LW3" s="3" t="s">
        <v>32</v>
      </c>
      <c r="LX3" s="3" t="s">
        <v>33</v>
      </c>
      <c r="LY3" s="3" t="s">
        <v>34</v>
      </c>
      <c r="LZ3" s="3" t="s">
        <v>11</v>
      </c>
      <c r="MA3" s="3" t="s">
        <v>12</v>
      </c>
      <c r="MB3" s="3" t="s">
        <v>13</v>
      </c>
      <c r="MC3" s="3" t="s">
        <v>14</v>
      </c>
      <c r="MD3" s="3" t="s">
        <v>15</v>
      </c>
      <c r="ME3" s="3" t="s">
        <v>16</v>
      </c>
      <c r="MF3" s="3" t="s">
        <v>17</v>
      </c>
      <c r="MG3" s="3" t="s">
        <v>18</v>
      </c>
      <c r="MH3" s="3" t="s">
        <v>19</v>
      </c>
      <c r="MI3" s="3" t="s">
        <v>20</v>
      </c>
      <c r="MJ3" s="3" t="s">
        <v>21</v>
      </c>
      <c r="MK3" s="3" t="s">
        <v>22</v>
      </c>
      <c r="ML3" s="3" t="s">
        <v>23</v>
      </c>
      <c r="MM3" s="3" t="s">
        <v>24</v>
      </c>
      <c r="MN3" s="3" t="s">
        <v>25</v>
      </c>
      <c r="MO3" s="3" t="s">
        <v>26</v>
      </c>
      <c r="MP3" s="3" t="s">
        <v>27</v>
      </c>
      <c r="MQ3" s="3" t="s">
        <v>28</v>
      </c>
      <c r="MR3" s="3" t="s">
        <v>29</v>
      </c>
      <c r="MS3" s="3" t="s">
        <v>30</v>
      </c>
      <c r="MT3" s="3" t="s">
        <v>31</v>
      </c>
      <c r="MU3" s="3" t="s">
        <v>32</v>
      </c>
      <c r="MV3" s="3" t="s">
        <v>33</v>
      </c>
      <c r="MW3" s="3" t="s">
        <v>34</v>
      </c>
      <c r="MX3" s="3" t="s">
        <v>11</v>
      </c>
      <c r="MY3" s="3" t="s">
        <v>12</v>
      </c>
      <c r="MZ3" s="3" t="s">
        <v>13</v>
      </c>
      <c r="NA3" s="3" t="s">
        <v>14</v>
      </c>
      <c r="NB3" s="3" t="s">
        <v>15</v>
      </c>
      <c r="NC3" s="3" t="s">
        <v>16</v>
      </c>
      <c r="ND3" s="3" t="s">
        <v>17</v>
      </c>
      <c r="NE3" s="3" t="s">
        <v>18</v>
      </c>
      <c r="NF3" s="3" t="s">
        <v>19</v>
      </c>
      <c r="NG3" s="3" t="s">
        <v>20</v>
      </c>
      <c r="NH3" s="3" t="s">
        <v>21</v>
      </c>
      <c r="NI3" s="3" t="s">
        <v>22</v>
      </c>
      <c r="NJ3" s="3" t="s">
        <v>23</v>
      </c>
      <c r="NK3" s="3" t="s">
        <v>24</v>
      </c>
      <c r="NL3" s="3" t="s">
        <v>25</v>
      </c>
      <c r="NM3" s="3" t="s">
        <v>26</v>
      </c>
      <c r="NN3" s="3" t="s">
        <v>27</v>
      </c>
      <c r="NO3" s="3" t="s">
        <v>28</v>
      </c>
      <c r="NP3" s="3" t="s">
        <v>29</v>
      </c>
      <c r="NQ3" s="3" t="s">
        <v>30</v>
      </c>
      <c r="NR3" s="3" t="s">
        <v>31</v>
      </c>
      <c r="NS3" s="3" t="s">
        <v>32</v>
      </c>
      <c r="NT3" s="3" t="s">
        <v>33</v>
      </c>
      <c r="NU3" s="3" t="s">
        <v>34</v>
      </c>
      <c r="NV3" s="3" t="s">
        <v>11</v>
      </c>
      <c r="NW3" s="3" t="s">
        <v>12</v>
      </c>
      <c r="NX3" s="3" t="s">
        <v>13</v>
      </c>
      <c r="NY3" s="3" t="s">
        <v>14</v>
      </c>
      <c r="NZ3" s="3" t="s">
        <v>15</v>
      </c>
      <c r="OA3" s="3" t="s">
        <v>16</v>
      </c>
      <c r="OB3" s="3" t="s">
        <v>17</v>
      </c>
      <c r="OC3" s="3" t="s">
        <v>18</v>
      </c>
      <c r="OD3" s="3" t="s">
        <v>19</v>
      </c>
      <c r="OE3" s="3" t="s">
        <v>20</v>
      </c>
      <c r="OF3" s="3" t="s">
        <v>21</v>
      </c>
      <c r="OG3" s="3" t="s">
        <v>22</v>
      </c>
      <c r="OH3" s="3" t="s">
        <v>23</v>
      </c>
      <c r="OI3" s="3" t="s">
        <v>24</v>
      </c>
      <c r="OJ3" s="3" t="s">
        <v>25</v>
      </c>
      <c r="OK3" s="3" t="s">
        <v>26</v>
      </c>
      <c r="OL3" s="3" t="s">
        <v>27</v>
      </c>
      <c r="OM3" s="3" t="s">
        <v>28</v>
      </c>
      <c r="ON3" s="3" t="s">
        <v>29</v>
      </c>
      <c r="OO3" s="3" t="s">
        <v>30</v>
      </c>
      <c r="OP3" s="3" t="s">
        <v>31</v>
      </c>
      <c r="OQ3" s="3" t="s">
        <v>32</v>
      </c>
      <c r="OR3" s="3" t="s">
        <v>33</v>
      </c>
      <c r="OS3" s="3" t="s">
        <v>34</v>
      </c>
      <c r="OT3" s="3" t="s">
        <v>11</v>
      </c>
      <c r="OU3" s="3" t="s">
        <v>12</v>
      </c>
      <c r="OV3" s="3" t="s">
        <v>13</v>
      </c>
      <c r="OW3" s="3" t="s">
        <v>14</v>
      </c>
      <c r="OX3" s="3" t="s">
        <v>15</v>
      </c>
      <c r="OY3" s="3" t="s">
        <v>16</v>
      </c>
      <c r="OZ3" s="3" t="s">
        <v>17</v>
      </c>
      <c r="PA3" s="3" t="s">
        <v>18</v>
      </c>
      <c r="PB3" s="3" t="s">
        <v>19</v>
      </c>
      <c r="PC3" s="3" t="s">
        <v>20</v>
      </c>
      <c r="PD3" s="3" t="s">
        <v>21</v>
      </c>
      <c r="PE3" s="3" t="s">
        <v>22</v>
      </c>
      <c r="PF3" s="3" t="s">
        <v>23</v>
      </c>
      <c r="PG3" s="3" t="s">
        <v>24</v>
      </c>
      <c r="PH3" s="3" t="s">
        <v>25</v>
      </c>
      <c r="PI3" s="3" t="s">
        <v>26</v>
      </c>
      <c r="PJ3" s="3" t="s">
        <v>27</v>
      </c>
      <c r="PK3" s="3" t="s">
        <v>28</v>
      </c>
      <c r="PL3" s="3" t="s">
        <v>29</v>
      </c>
      <c r="PM3" s="3" t="s">
        <v>30</v>
      </c>
      <c r="PN3" s="3" t="s">
        <v>31</v>
      </c>
      <c r="PO3" s="3" t="s">
        <v>32</v>
      </c>
      <c r="PP3" s="3" t="s">
        <v>33</v>
      </c>
      <c r="PQ3" s="3" t="s">
        <v>34</v>
      </c>
      <c r="PR3" s="3" t="s">
        <v>11</v>
      </c>
      <c r="PS3" s="3" t="s">
        <v>12</v>
      </c>
      <c r="PT3" s="3" t="s">
        <v>13</v>
      </c>
      <c r="PU3" s="3" t="s">
        <v>14</v>
      </c>
      <c r="PV3" s="3" t="s">
        <v>15</v>
      </c>
      <c r="PW3" s="3" t="s">
        <v>16</v>
      </c>
      <c r="PX3" s="3" t="s">
        <v>17</v>
      </c>
      <c r="PY3" s="3" t="s">
        <v>18</v>
      </c>
      <c r="PZ3" s="3" t="s">
        <v>19</v>
      </c>
      <c r="QA3" s="3" t="s">
        <v>20</v>
      </c>
      <c r="QB3" s="3" t="s">
        <v>21</v>
      </c>
      <c r="QC3" s="3" t="s">
        <v>22</v>
      </c>
      <c r="QD3" s="3" t="s">
        <v>23</v>
      </c>
      <c r="QE3" s="3" t="s">
        <v>24</v>
      </c>
      <c r="QF3" s="3" t="s">
        <v>25</v>
      </c>
      <c r="QG3" s="3" t="s">
        <v>26</v>
      </c>
      <c r="QH3" s="3" t="s">
        <v>27</v>
      </c>
      <c r="QI3" s="3" t="s">
        <v>28</v>
      </c>
      <c r="QJ3" s="3" t="s">
        <v>29</v>
      </c>
      <c r="QK3" s="3" t="s">
        <v>30</v>
      </c>
      <c r="QL3" s="3" t="s">
        <v>31</v>
      </c>
      <c r="QM3" s="3" t="s">
        <v>32</v>
      </c>
      <c r="QN3" s="3" t="s">
        <v>33</v>
      </c>
      <c r="QO3" s="3" t="s">
        <v>34</v>
      </c>
      <c r="QP3" s="3" t="s">
        <v>11</v>
      </c>
      <c r="QQ3" s="3" t="s">
        <v>12</v>
      </c>
      <c r="QR3" s="3" t="s">
        <v>13</v>
      </c>
      <c r="QS3" s="3" t="s">
        <v>14</v>
      </c>
      <c r="QT3" s="3" t="s">
        <v>15</v>
      </c>
      <c r="QU3" s="3" t="s">
        <v>16</v>
      </c>
      <c r="QV3" s="3" t="s">
        <v>17</v>
      </c>
      <c r="QW3" s="3" t="s">
        <v>18</v>
      </c>
      <c r="QX3" s="3" t="s">
        <v>19</v>
      </c>
      <c r="QY3" s="3" t="s">
        <v>20</v>
      </c>
      <c r="QZ3" s="3" t="s">
        <v>21</v>
      </c>
      <c r="RA3" s="3" t="s">
        <v>22</v>
      </c>
      <c r="RB3" s="3" t="s">
        <v>23</v>
      </c>
      <c r="RC3" s="3" t="s">
        <v>24</v>
      </c>
      <c r="RD3" s="3" t="s">
        <v>25</v>
      </c>
      <c r="RE3" s="3" t="s">
        <v>26</v>
      </c>
      <c r="RF3" s="3" t="s">
        <v>27</v>
      </c>
      <c r="RG3" s="3" t="s">
        <v>28</v>
      </c>
      <c r="RH3" s="3" t="s">
        <v>29</v>
      </c>
      <c r="RI3" s="3" t="s">
        <v>30</v>
      </c>
      <c r="RJ3" s="3" t="s">
        <v>31</v>
      </c>
      <c r="RK3" s="3" t="s">
        <v>32</v>
      </c>
      <c r="RL3" s="3" t="s">
        <v>33</v>
      </c>
      <c r="RM3" s="3" t="s">
        <v>34</v>
      </c>
      <c r="RN3" s="3" t="s">
        <v>11</v>
      </c>
      <c r="RO3" s="3" t="s">
        <v>12</v>
      </c>
      <c r="RP3" s="3" t="s">
        <v>13</v>
      </c>
      <c r="RQ3" s="3" t="s">
        <v>14</v>
      </c>
      <c r="RR3" s="3" t="s">
        <v>15</v>
      </c>
      <c r="RS3" s="3" t="s">
        <v>16</v>
      </c>
      <c r="RT3" s="3" t="s">
        <v>17</v>
      </c>
      <c r="RU3" s="3" t="s">
        <v>18</v>
      </c>
      <c r="RV3" s="3" t="s">
        <v>19</v>
      </c>
      <c r="RW3" s="3" t="s">
        <v>20</v>
      </c>
      <c r="RX3" s="3" t="s">
        <v>21</v>
      </c>
      <c r="RY3" s="3" t="s">
        <v>22</v>
      </c>
      <c r="RZ3" s="3" t="s">
        <v>23</v>
      </c>
      <c r="SA3" s="3" t="s">
        <v>24</v>
      </c>
      <c r="SB3" s="3" t="s">
        <v>25</v>
      </c>
      <c r="SC3" s="3" t="s">
        <v>26</v>
      </c>
      <c r="SD3" s="3" t="s">
        <v>27</v>
      </c>
      <c r="SE3" s="3" t="s">
        <v>28</v>
      </c>
      <c r="SF3" s="3" t="s">
        <v>29</v>
      </c>
      <c r="SG3" s="3" t="s">
        <v>30</v>
      </c>
      <c r="SH3" s="3" t="s">
        <v>31</v>
      </c>
      <c r="SI3" s="3" t="s">
        <v>32</v>
      </c>
      <c r="SJ3" s="3" t="s">
        <v>33</v>
      </c>
      <c r="SK3" s="3" t="s">
        <v>34</v>
      </c>
      <c r="SL3" s="3" t="s">
        <v>11</v>
      </c>
      <c r="SM3" s="3" t="s">
        <v>12</v>
      </c>
      <c r="SN3" s="3" t="s">
        <v>13</v>
      </c>
      <c r="SO3" s="3" t="s">
        <v>14</v>
      </c>
      <c r="SP3" s="3" t="s">
        <v>15</v>
      </c>
      <c r="SQ3" s="3" t="s">
        <v>16</v>
      </c>
      <c r="SR3" s="3" t="s">
        <v>17</v>
      </c>
      <c r="SS3" s="3" t="s">
        <v>18</v>
      </c>
      <c r="ST3" s="3" t="s">
        <v>19</v>
      </c>
      <c r="SU3" s="3" t="s">
        <v>20</v>
      </c>
      <c r="SV3" s="3" t="s">
        <v>21</v>
      </c>
      <c r="SW3" s="3" t="s">
        <v>22</v>
      </c>
      <c r="SX3" s="3" t="s">
        <v>23</v>
      </c>
      <c r="SY3" s="3" t="s">
        <v>24</v>
      </c>
      <c r="SZ3" s="3" t="s">
        <v>25</v>
      </c>
      <c r="TA3" s="3" t="s">
        <v>26</v>
      </c>
      <c r="TB3" s="3" t="s">
        <v>27</v>
      </c>
      <c r="TC3" s="3" t="s">
        <v>28</v>
      </c>
      <c r="TD3" s="3" t="s">
        <v>29</v>
      </c>
      <c r="TE3" s="3" t="s">
        <v>30</v>
      </c>
      <c r="TF3" s="3" t="s">
        <v>31</v>
      </c>
      <c r="TG3" s="3" t="s">
        <v>32</v>
      </c>
      <c r="TH3" s="3" t="s">
        <v>33</v>
      </c>
      <c r="TI3" s="3" t="s">
        <v>34</v>
      </c>
      <c r="TJ3" s="3" t="s">
        <v>11</v>
      </c>
      <c r="TK3" s="3" t="s">
        <v>12</v>
      </c>
      <c r="TL3" s="3" t="s">
        <v>13</v>
      </c>
      <c r="TM3" s="3" t="s">
        <v>14</v>
      </c>
      <c r="TN3" s="3" t="s">
        <v>15</v>
      </c>
      <c r="TO3" s="3" t="s">
        <v>16</v>
      </c>
      <c r="TP3" s="3" t="s">
        <v>17</v>
      </c>
      <c r="TQ3" s="3" t="s">
        <v>18</v>
      </c>
      <c r="TR3" s="3" t="s">
        <v>19</v>
      </c>
      <c r="TS3" s="3" t="s">
        <v>20</v>
      </c>
      <c r="TT3" s="3" t="s">
        <v>21</v>
      </c>
      <c r="TU3" s="3" t="s">
        <v>22</v>
      </c>
      <c r="TV3" s="3" t="s">
        <v>23</v>
      </c>
      <c r="TW3" s="3" t="s">
        <v>24</v>
      </c>
      <c r="TX3" s="3" t="s">
        <v>25</v>
      </c>
      <c r="TY3" s="3" t="s">
        <v>26</v>
      </c>
      <c r="TZ3" s="3" t="s">
        <v>27</v>
      </c>
      <c r="UA3" s="3" t="s">
        <v>28</v>
      </c>
      <c r="UB3" s="3" t="s">
        <v>29</v>
      </c>
      <c r="UC3" s="3" t="s">
        <v>30</v>
      </c>
      <c r="UD3" s="3" t="s">
        <v>31</v>
      </c>
      <c r="UE3" s="3" t="s">
        <v>32</v>
      </c>
      <c r="UF3" s="3" t="s">
        <v>33</v>
      </c>
      <c r="UG3" s="3" t="s">
        <v>34</v>
      </c>
      <c r="UH3" s="3" t="s">
        <v>11</v>
      </c>
      <c r="UI3" s="3" t="s">
        <v>12</v>
      </c>
      <c r="UJ3" s="3" t="s">
        <v>13</v>
      </c>
      <c r="UK3" s="3" t="s">
        <v>14</v>
      </c>
      <c r="UL3" s="3" t="s">
        <v>15</v>
      </c>
      <c r="UM3" s="3" t="s">
        <v>16</v>
      </c>
      <c r="UN3" s="3" t="s">
        <v>17</v>
      </c>
      <c r="UO3" s="3" t="s">
        <v>18</v>
      </c>
      <c r="UP3" s="3" t="s">
        <v>19</v>
      </c>
      <c r="UQ3" s="3" t="s">
        <v>20</v>
      </c>
      <c r="UR3" s="3" t="s">
        <v>21</v>
      </c>
      <c r="US3" s="3" t="s">
        <v>22</v>
      </c>
      <c r="UT3" s="3" t="s">
        <v>23</v>
      </c>
      <c r="UU3" s="3" t="s">
        <v>24</v>
      </c>
      <c r="UV3" s="3" t="s">
        <v>25</v>
      </c>
      <c r="UW3" s="3" t="s">
        <v>26</v>
      </c>
      <c r="UX3" s="3" t="s">
        <v>27</v>
      </c>
      <c r="UY3" s="3" t="s">
        <v>28</v>
      </c>
      <c r="UZ3" s="3" t="s">
        <v>29</v>
      </c>
      <c r="VA3" s="3" t="s">
        <v>30</v>
      </c>
      <c r="VB3" s="3" t="s">
        <v>31</v>
      </c>
      <c r="VC3" s="3" t="s">
        <v>32</v>
      </c>
      <c r="VD3" s="3" t="s">
        <v>33</v>
      </c>
      <c r="VE3" s="3" t="s">
        <v>34</v>
      </c>
      <c r="VF3" s="7" t="s">
        <v>11</v>
      </c>
      <c r="VG3" s="7" t="s">
        <v>12</v>
      </c>
      <c r="VH3" s="7" t="s">
        <v>13</v>
      </c>
      <c r="VI3" s="7" t="s">
        <v>14</v>
      </c>
      <c r="VJ3" s="7" t="s">
        <v>15</v>
      </c>
      <c r="VK3" s="7" t="s">
        <v>16</v>
      </c>
      <c r="VL3" s="7" t="s">
        <v>17</v>
      </c>
      <c r="VM3" s="7" t="s">
        <v>18</v>
      </c>
      <c r="VN3" s="7" t="s">
        <v>19</v>
      </c>
      <c r="VO3" s="7" t="s">
        <v>20</v>
      </c>
      <c r="VP3" s="7" t="s">
        <v>21</v>
      </c>
      <c r="VQ3" s="7" t="s">
        <v>22</v>
      </c>
      <c r="VR3" s="7" t="s">
        <v>23</v>
      </c>
      <c r="VS3" s="7" t="s">
        <v>24</v>
      </c>
      <c r="VT3" s="7" t="s">
        <v>25</v>
      </c>
      <c r="VU3" s="7" t="s">
        <v>26</v>
      </c>
      <c r="VV3" s="7" t="s">
        <v>27</v>
      </c>
      <c r="VW3" s="7" t="s">
        <v>28</v>
      </c>
      <c r="VX3" s="7" t="s">
        <v>29</v>
      </c>
      <c r="VY3" s="7" t="s">
        <v>30</v>
      </c>
      <c r="VZ3" s="7" t="s">
        <v>31</v>
      </c>
      <c r="WA3" s="7" t="s">
        <v>32</v>
      </c>
      <c r="WB3" s="7" t="s">
        <v>33</v>
      </c>
      <c r="WC3" s="7" t="s">
        <v>34</v>
      </c>
      <c r="WD3" s="3" t="s">
        <v>11</v>
      </c>
      <c r="WE3" s="3" t="s">
        <v>12</v>
      </c>
      <c r="WF3" s="3" t="s">
        <v>13</v>
      </c>
      <c r="WG3" s="3" t="s">
        <v>14</v>
      </c>
      <c r="WH3" s="3" t="s">
        <v>15</v>
      </c>
      <c r="WI3" s="3" t="s">
        <v>16</v>
      </c>
      <c r="WJ3" s="3" t="s">
        <v>17</v>
      </c>
      <c r="WK3" s="3" t="s">
        <v>18</v>
      </c>
      <c r="WL3" s="3" t="s">
        <v>19</v>
      </c>
      <c r="WM3" s="3" t="s">
        <v>20</v>
      </c>
      <c r="WN3" s="3" t="s">
        <v>21</v>
      </c>
      <c r="WO3" s="3" t="s">
        <v>22</v>
      </c>
      <c r="WP3" s="3" t="s">
        <v>23</v>
      </c>
      <c r="WQ3" s="3" t="s">
        <v>24</v>
      </c>
      <c r="WR3" s="3" t="s">
        <v>25</v>
      </c>
      <c r="WS3" s="3" t="s">
        <v>26</v>
      </c>
      <c r="WT3" s="3" t="s">
        <v>27</v>
      </c>
      <c r="WU3" s="3" t="s">
        <v>28</v>
      </c>
      <c r="WV3" s="3" t="s">
        <v>29</v>
      </c>
      <c r="WW3" s="3" t="s">
        <v>30</v>
      </c>
      <c r="WX3" s="3" t="s">
        <v>31</v>
      </c>
      <c r="WY3" s="3" t="s">
        <v>32</v>
      </c>
      <c r="WZ3" s="3" t="s">
        <v>33</v>
      </c>
      <c r="XA3" s="3" t="s">
        <v>34</v>
      </c>
      <c r="XB3" s="3" t="s">
        <v>11</v>
      </c>
      <c r="XC3" s="3" t="s">
        <v>12</v>
      </c>
      <c r="XD3" s="3" t="s">
        <v>13</v>
      </c>
      <c r="XE3" s="3" t="s">
        <v>14</v>
      </c>
      <c r="XF3" s="3" t="s">
        <v>15</v>
      </c>
      <c r="XG3" s="3" t="s">
        <v>16</v>
      </c>
      <c r="XH3" s="3" t="s">
        <v>17</v>
      </c>
      <c r="XI3" s="3" t="s">
        <v>18</v>
      </c>
      <c r="XJ3" s="3" t="s">
        <v>19</v>
      </c>
      <c r="XK3" s="3" t="s">
        <v>20</v>
      </c>
      <c r="XL3" s="3" t="s">
        <v>21</v>
      </c>
      <c r="XM3" s="3" t="s">
        <v>22</v>
      </c>
      <c r="XN3" s="3" t="s">
        <v>23</v>
      </c>
      <c r="XO3" s="3" t="s">
        <v>24</v>
      </c>
      <c r="XP3" s="3" t="s">
        <v>25</v>
      </c>
      <c r="XQ3" s="3" t="s">
        <v>26</v>
      </c>
      <c r="XR3" s="3" t="s">
        <v>27</v>
      </c>
      <c r="XS3" s="3" t="s">
        <v>28</v>
      </c>
      <c r="XT3" s="3" t="s">
        <v>29</v>
      </c>
      <c r="XU3" s="3" t="s">
        <v>30</v>
      </c>
      <c r="XV3" s="3" t="s">
        <v>31</v>
      </c>
      <c r="XW3" s="3" t="s">
        <v>32</v>
      </c>
      <c r="XX3" s="3" t="s">
        <v>33</v>
      </c>
      <c r="XY3" s="3" t="s">
        <v>34</v>
      </c>
      <c r="XZ3" s="3" t="s">
        <v>11</v>
      </c>
      <c r="YA3" s="3" t="s">
        <v>12</v>
      </c>
      <c r="YB3" s="3" t="s">
        <v>13</v>
      </c>
      <c r="YC3" s="3" t="s">
        <v>14</v>
      </c>
      <c r="YD3" s="3" t="s">
        <v>15</v>
      </c>
      <c r="YE3" s="3" t="s">
        <v>16</v>
      </c>
      <c r="YF3" s="3" t="s">
        <v>17</v>
      </c>
      <c r="YG3" s="3" t="s">
        <v>18</v>
      </c>
      <c r="YH3" s="3" t="s">
        <v>19</v>
      </c>
      <c r="YI3" s="3" t="s">
        <v>20</v>
      </c>
      <c r="YJ3" s="3" t="s">
        <v>21</v>
      </c>
      <c r="YK3" s="3" t="s">
        <v>22</v>
      </c>
      <c r="YL3" s="3" t="s">
        <v>23</v>
      </c>
      <c r="YM3" s="3" t="s">
        <v>24</v>
      </c>
      <c r="YN3" s="3" t="s">
        <v>25</v>
      </c>
      <c r="YO3" s="3" t="s">
        <v>26</v>
      </c>
      <c r="YP3" s="3" t="s">
        <v>27</v>
      </c>
      <c r="YQ3" s="3" t="s">
        <v>28</v>
      </c>
      <c r="YR3" s="3" t="s">
        <v>29</v>
      </c>
      <c r="YS3" s="3" t="s">
        <v>30</v>
      </c>
      <c r="YT3" s="3" t="s">
        <v>31</v>
      </c>
      <c r="YU3" s="3" t="s">
        <v>32</v>
      </c>
      <c r="YV3" s="3" t="s">
        <v>33</v>
      </c>
      <c r="YW3" s="3" t="s">
        <v>34</v>
      </c>
      <c r="YX3" s="3" t="s">
        <v>11</v>
      </c>
      <c r="YY3" s="3" t="s">
        <v>12</v>
      </c>
      <c r="YZ3" s="3" t="s">
        <v>13</v>
      </c>
      <c r="ZA3" s="3" t="s">
        <v>14</v>
      </c>
      <c r="ZB3" s="3" t="s">
        <v>15</v>
      </c>
      <c r="ZC3" s="3" t="s">
        <v>16</v>
      </c>
      <c r="ZD3" s="3" t="s">
        <v>17</v>
      </c>
      <c r="ZE3" s="3" t="s">
        <v>18</v>
      </c>
      <c r="ZF3" s="3" t="s">
        <v>19</v>
      </c>
      <c r="ZG3" s="3" t="s">
        <v>20</v>
      </c>
      <c r="ZH3" s="3" t="s">
        <v>21</v>
      </c>
      <c r="ZI3" s="3" t="s">
        <v>22</v>
      </c>
      <c r="ZJ3" s="3" t="s">
        <v>23</v>
      </c>
      <c r="ZK3" s="3" t="s">
        <v>24</v>
      </c>
      <c r="ZL3" s="3" t="s">
        <v>25</v>
      </c>
      <c r="ZM3" s="3" t="s">
        <v>26</v>
      </c>
      <c r="ZN3" s="3" t="s">
        <v>27</v>
      </c>
      <c r="ZO3" s="3" t="s">
        <v>28</v>
      </c>
      <c r="ZP3" s="3" t="s">
        <v>29</v>
      </c>
      <c r="ZQ3" s="3" t="s">
        <v>30</v>
      </c>
      <c r="ZR3" s="3" t="s">
        <v>31</v>
      </c>
      <c r="ZS3" s="3" t="s">
        <v>32</v>
      </c>
      <c r="ZT3" s="3" t="s">
        <v>33</v>
      </c>
      <c r="ZU3" s="3" t="s">
        <v>34</v>
      </c>
      <c r="ZV3" s="3" t="s">
        <v>11</v>
      </c>
      <c r="ZW3" s="3" t="s">
        <v>12</v>
      </c>
      <c r="ZX3" s="3" t="s">
        <v>13</v>
      </c>
      <c r="ZY3" s="3" t="s">
        <v>14</v>
      </c>
      <c r="ZZ3" s="3" t="s">
        <v>15</v>
      </c>
      <c r="AAA3" s="3" t="s">
        <v>16</v>
      </c>
      <c r="AAB3" s="3" t="s">
        <v>17</v>
      </c>
      <c r="AAC3" s="3" t="s">
        <v>18</v>
      </c>
      <c r="AAD3" s="3" t="s">
        <v>19</v>
      </c>
      <c r="AAE3" s="3" t="s">
        <v>20</v>
      </c>
      <c r="AAF3" s="3" t="s">
        <v>21</v>
      </c>
      <c r="AAG3" s="3" t="s">
        <v>22</v>
      </c>
      <c r="AAH3" s="3" t="s">
        <v>23</v>
      </c>
      <c r="AAI3" s="3" t="s">
        <v>24</v>
      </c>
      <c r="AAJ3" s="3" t="s">
        <v>25</v>
      </c>
      <c r="AAK3" s="3" t="s">
        <v>26</v>
      </c>
      <c r="AAL3" s="3" t="s">
        <v>27</v>
      </c>
      <c r="AAM3" s="3" t="s">
        <v>28</v>
      </c>
      <c r="AAN3" s="3" t="s">
        <v>29</v>
      </c>
      <c r="AAO3" s="3" t="s">
        <v>30</v>
      </c>
      <c r="AAP3" s="3" t="s">
        <v>31</v>
      </c>
      <c r="AAQ3" s="3" t="s">
        <v>32</v>
      </c>
      <c r="AAR3" s="3" t="s">
        <v>33</v>
      </c>
      <c r="AAS3" s="3" t="s">
        <v>34</v>
      </c>
      <c r="AAT3" s="3" t="s">
        <v>11</v>
      </c>
      <c r="AAU3" s="3" t="s">
        <v>12</v>
      </c>
      <c r="AAV3" s="3" t="s">
        <v>13</v>
      </c>
      <c r="AAW3" s="3" t="s">
        <v>14</v>
      </c>
      <c r="AAX3" s="3" t="s">
        <v>15</v>
      </c>
      <c r="AAY3" s="3" t="s">
        <v>16</v>
      </c>
      <c r="AAZ3" s="3" t="s">
        <v>17</v>
      </c>
      <c r="ABA3" s="3" t="s">
        <v>18</v>
      </c>
      <c r="ABB3" s="3" t="s">
        <v>19</v>
      </c>
      <c r="ABC3" s="3" t="s">
        <v>20</v>
      </c>
      <c r="ABD3" s="3" t="s">
        <v>21</v>
      </c>
      <c r="ABE3" s="3" t="s">
        <v>22</v>
      </c>
      <c r="ABF3" s="3" t="s">
        <v>23</v>
      </c>
      <c r="ABG3" s="3" t="s">
        <v>24</v>
      </c>
      <c r="ABH3" s="3" t="s">
        <v>25</v>
      </c>
      <c r="ABI3" s="3" t="s">
        <v>26</v>
      </c>
      <c r="ABJ3" s="3" t="s">
        <v>27</v>
      </c>
      <c r="ABK3" s="3" t="s">
        <v>28</v>
      </c>
      <c r="ABL3" s="3" t="s">
        <v>29</v>
      </c>
      <c r="ABM3" s="3" t="s">
        <v>30</v>
      </c>
      <c r="ABN3" s="3" t="s">
        <v>31</v>
      </c>
      <c r="ABO3" s="3" t="s">
        <v>32</v>
      </c>
      <c r="ABP3" s="3" t="s">
        <v>33</v>
      </c>
      <c r="ABQ3" s="3" t="s">
        <v>34</v>
      </c>
      <c r="ABR3" s="3" t="s">
        <v>11</v>
      </c>
      <c r="ABS3" s="3" t="s">
        <v>12</v>
      </c>
      <c r="ABT3" s="3" t="s">
        <v>13</v>
      </c>
      <c r="ABU3" s="3" t="s">
        <v>14</v>
      </c>
      <c r="ABV3" s="3" t="s">
        <v>15</v>
      </c>
      <c r="ABW3" s="3" t="s">
        <v>16</v>
      </c>
      <c r="ABX3" s="3" t="s">
        <v>17</v>
      </c>
      <c r="ABY3" s="3" t="s">
        <v>18</v>
      </c>
      <c r="ABZ3" s="3" t="s">
        <v>19</v>
      </c>
      <c r="ACA3" s="3" t="s">
        <v>20</v>
      </c>
      <c r="ACB3" s="3" t="s">
        <v>21</v>
      </c>
      <c r="ACC3" s="3" t="s">
        <v>22</v>
      </c>
      <c r="ACD3" s="3" t="s">
        <v>23</v>
      </c>
      <c r="ACE3" s="3" t="s">
        <v>24</v>
      </c>
      <c r="ACF3" s="3" t="s">
        <v>25</v>
      </c>
      <c r="ACG3" s="3" t="s">
        <v>26</v>
      </c>
      <c r="ACH3" s="3" t="s">
        <v>27</v>
      </c>
      <c r="ACI3" s="3" t="s">
        <v>28</v>
      </c>
      <c r="ACJ3" s="3" t="s">
        <v>29</v>
      </c>
      <c r="ACK3" s="3" t="s">
        <v>30</v>
      </c>
      <c r="ACL3" s="3" t="s">
        <v>31</v>
      </c>
      <c r="ACM3" s="3" t="s">
        <v>32</v>
      </c>
      <c r="ACN3" s="3" t="s">
        <v>33</v>
      </c>
      <c r="ACO3" s="3" t="s">
        <v>34</v>
      </c>
    </row>
    <row r="4" spans="1:769" ht="15" customHeight="1" x14ac:dyDescent="0.25">
      <c r="A4" s="35" t="s">
        <v>35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6"/>
      <c r="BU4" s="6"/>
      <c r="BV4" s="6"/>
      <c r="BW4" s="6"/>
      <c r="BX4" s="6"/>
      <c r="BY4" s="6"/>
      <c r="BZ4" s="6"/>
      <c r="CA4" s="6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6"/>
      <c r="CS4" s="6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6"/>
      <c r="IG4" s="6"/>
      <c r="IH4" s="6"/>
      <c r="II4" s="6"/>
      <c r="IJ4" s="6"/>
      <c r="IK4" s="6"/>
      <c r="IL4" s="6"/>
      <c r="IM4" s="6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6"/>
      <c r="JE4" s="6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6"/>
      <c r="OS4" s="6"/>
      <c r="OT4" s="6"/>
      <c r="OU4" s="6"/>
      <c r="OV4" s="6"/>
      <c r="OW4" s="6"/>
      <c r="OX4" s="6"/>
      <c r="OY4" s="6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6"/>
      <c r="PQ4" s="6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6"/>
      <c r="VE4" s="6"/>
      <c r="VF4" s="6"/>
      <c r="VG4" s="6"/>
      <c r="VH4" s="6"/>
      <c r="VI4" s="6"/>
      <c r="VJ4" s="6"/>
      <c r="VK4" s="6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6"/>
      <c r="WC4" s="6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6"/>
      <c r="ABQ4" s="6"/>
      <c r="ABR4" s="6"/>
      <c r="ABS4" s="6"/>
      <c r="ABT4" s="6"/>
      <c r="ABU4" s="6"/>
      <c r="ABV4" s="6"/>
      <c r="ABW4" s="6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6"/>
      <c r="ACO4" s="6"/>
    </row>
    <row r="5" spans="1:769" x14ac:dyDescent="0.25">
      <c r="A5" s="25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6"/>
      <c r="BU5" s="6"/>
      <c r="BV5" s="6"/>
      <c r="BW5" s="6"/>
      <c r="BX5" s="6"/>
      <c r="BY5" s="6"/>
      <c r="BZ5" s="6"/>
      <c r="CA5" s="6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6"/>
      <c r="CS5" s="6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6"/>
      <c r="IG5" s="6"/>
      <c r="IH5" s="6"/>
      <c r="II5" s="6"/>
      <c r="IJ5" s="6"/>
      <c r="IK5" s="6"/>
      <c r="IL5" s="6"/>
      <c r="IM5" s="6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6"/>
      <c r="JE5" s="6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6"/>
      <c r="OS5" s="6"/>
      <c r="OT5" s="6"/>
      <c r="OU5" s="6"/>
      <c r="OV5" s="6"/>
      <c r="OW5" s="6"/>
      <c r="OX5" s="6"/>
      <c r="OY5" s="6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6"/>
      <c r="PQ5" s="6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6"/>
      <c r="VE5" s="6"/>
      <c r="VF5" s="6"/>
      <c r="VG5" s="6"/>
      <c r="VH5" s="6"/>
      <c r="VI5" s="6"/>
      <c r="VJ5" s="6"/>
      <c r="VK5" s="6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6"/>
      <c r="WC5" s="6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6"/>
      <c r="ABQ5" s="6"/>
      <c r="ABR5" s="6"/>
      <c r="ABS5" s="6"/>
      <c r="ABT5" s="6"/>
      <c r="ABU5" s="6"/>
      <c r="ABV5" s="6"/>
      <c r="ABW5" s="6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6"/>
      <c r="ACO5" s="6"/>
    </row>
    <row r="6" spans="1:769" x14ac:dyDescent="0.25">
      <c r="A6" s="25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6"/>
      <c r="BU6" s="6"/>
      <c r="BV6" s="6"/>
      <c r="BW6" s="6"/>
      <c r="BX6" s="6"/>
      <c r="BY6" s="6"/>
      <c r="BZ6" s="6"/>
      <c r="CA6" s="6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6"/>
      <c r="CS6" s="6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6"/>
      <c r="IG6" s="6"/>
      <c r="IH6" s="6"/>
      <c r="II6" s="6"/>
      <c r="IJ6" s="6"/>
      <c r="IK6" s="6"/>
      <c r="IL6" s="6"/>
      <c r="IM6" s="6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6"/>
      <c r="JE6" s="6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6"/>
      <c r="OS6" s="6"/>
      <c r="OT6" s="6"/>
      <c r="OU6" s="6"/>
      <c r="OV6" s="6"/>
      <c r="OW6" s="6"/>
      <c r="OX6" s="6"/>
      <c r="OY6" s="6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6"/>
      <c r="PQ6" s="6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6"/>
      <c r="VE6" s="6"/>
      <c r="VF6" s="6"/>
      <c r="VG6" s="6"/>
      <c r="VH6" s="6"/>
      <c r="VI6" s="6"/>
      <c r="VJ6" s="6"/>
      <c r="VK6" s="6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6"/>
      <c r="WC6" s="6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6"/>
      <c r="ABQ6" s="6"/>
      <c r="ABR6" s="6"/>
      <c r="ABS6" s="6"/>
      <c r="ABT6" s="6"/>
      <c r="ABU6" s="6"/>
      <c r="ABV6" s="6"/>
      <c r="ABW6" s="6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6"/>
      <c r="ACO6" s="6"/>
    </row>
    <row r="7" spans="1:769" x14ac:dyDescent="0.25">
      <c r="A7" s="25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6"/>
      <c r="BU7" s="6"/>
      <c r="BV7" s="6"/>
      <c r="BW7" s="6"/>
      <c r="BX7" s="6"/>
      <c r="BY7" s="6"/>
      <c r="BZ7" s="6"/>
      <c r="CA7" s="6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6"/>
      <c r="CS7" s="6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6"/>
      <c r="IG7" s="6"/>
      <c r="IH7" s="6"/>
      <c r="II7" s="6"/>
      <c r="IJ7" s="6"/>
      <c r="IK7" s="6"/>
      <c r="IL7" s="6"/>
      <c r="IM7" s="6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6"/>
      <c r="JE7" s="6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6"/>
      <c r="OS7" s="6"/>
      <c r="OT7" s="6"/>
      <c r="OU7" s="6"/>
      <c r="OV7" s="6"/>
      <c r="OW7" s="6"/>
      <c r="OX7" s="6"/>
      <c r="OY7" s="6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6"/>
      <c r="PQ7" s="6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6"/>
      <c r="VE7" s="6"/>
      <c r="VF7" s="6"/>
      <c r="VG7" s="6"/>
      <c r="VH7" s="6"/>
      <c r="VI7" s="6"/>
      <c r="VJ7" s="6"/>
      <c r="VK7" s="6"/>
      <c r="VL7" s="8"/>
      <c r="VM7" s="8"/>
      <c r="VN7" s="8"/>
      <c r="VO7" s="8"/>
      <c r="VP7" s="8"/>
      <c r="VQ7" s="8"/>
      <c r="VR7" s="8"/>
      <c r="VS7" s="8"/>
      <c r="VT7" s="8"/>
      <c r="VU7" s="8"/>
      <c r="VV7" s="8"/>
      <c r="VW7" s="8"/>
      <c r="VX7" s="8"/>
      <c r="VY7" s="8"/>
      <c r="VZ7" s="8"/>
      <c r="WA7" s="8"/>
      <c r="WB7" s="6"/>
      <c r="WC7" s="6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6"/>
      <c r="ABQ7" s="6"/>
      <c r="ABR7" s="6"/>
      <c r="ABS7" s="6"/>
      <c r="ABT7" s="6"/>
      <c r="ABU7" s="6"/>
      <c r="ABV7" s="6"/>
      <c r="ABW7" s="6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6"/>
      <c r="ACO7" s="6"/>
    </row>
    <row r="8" spans="1:769" ht="15" customHeight="1" x14ac:dyDescent="0.25">
      <c r="A8" s="36" t="s">
        <v>36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6"/>
      <c r="BU8" s="6"/>
      <c r="BV8" s="6"/>
      <c r="BW8" s="6"/>
      <c r="BX8" s="6"/>
      <c r="BY8" s="6"/>
      <c r="BZ8" s="6"/>
      <c r="CA8" s="6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6"/>
      <c r="CS8" s="6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6"/>
      <c r="IG8" s="6"/>
      <c r="IH8" s="6"/>
      <c r="II8" s="6"/>
      <c r="IJ8" s="6"/>
      <c r="IK8" s="6"/>
      <c r="IL8" s="6"/>
      <c r="IM8" s="6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6"/>
      <c r="JE8" s="6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6"/>
      <c r="OS8" s="6"/>
      <c r="OT8" s="6"/>
      <c r="OU8" s="6"/>
      <c r="OV8" s="6"/>
      <c r="OW8" s="6"/>
      <c r="OX8" s="6"/>
      <c r="OY8" s="6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6"/>
      <c r="PQ8" s="6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"/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6"/>
      <c r="VE8" s="6"/>
      <c r="VF8" s="6"/>
      <c r="VG8" s="6"/>
      <c r="VH8" s="6"/>
      <c r="VI8" s="6"/>
      <c r="VJ8" s="6"/>
      <c r="VK8" s="6"/>
      <c r="VL8" s="8"/>
      <c r="VM8" s="8"/>
      <c r="VN8" s="8"/>
      <c r="VO8" s="8"/>
      <c r="VP8" s="8"/>
      <c r="VQ8" s="8"/>
      <c r="VR8" s="8"/>
      <c r="VS8" s="8"/>
      <c r="VT8" s="8"/>
      <c r="VU8" s="8"/>
      <c r="VV8" s="8"/>
      <c r="VW8" s="8"/>
      <c r="VX8" s="8"/>
      <c r="VY8" s="8"/>
      <c r="VZ8" s="8"/>
      <c r="WA8" s="8"/>
      <c r="WB8" s="6"/>
      <c r="WC8" s="6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"/>
      <c r="WV8" s="4"/>
      <c r="WW8" s="4"/>
      <c r="WX8" s="4"/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"/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"/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  <c r="AAA8" s="4"/>
      <c r="AAB8" s="4"/>
      <c r="AAC8" s="4"/>
      <c r="AAD8" s="4"/>
      <c r="AAE8" s="4"/>
      <c r="AAF8" s="4"/>
      <c r="AAG8" s="4"/>
      <c r="AAH8" s="4"/>
      <c r="AAI8" s="4"/>
      <c r="AAJ8" s="4"/>
      <c r="AAK8" s="4"/>
      <c r="AAL8" s="4"/>
      <c r="AAM8" s="4"/>
      <c r="AAN8" s="4"/>
      <c r="AAO8" s="4"/>
      <c r="AAP8" s="4"/>
      <c r="AAQ8" s="4"/>
      <c r="AAR8" s="4"/>
      <c r="AAS8" s="4"/>
      <c r="AAT8" s="4"/>
      <c r="AAU8" s="4"/>
      <c r="AAV8" s="4"/>
      <c r="AAW8" s="4"/>
      <c r="AAX8" s="4"/>
      <c r="AAY8" s="4"/>
      <c r="AAZ8" s="4"/>
      <c r="ABA8" s="4"/>
      <c r="ABB8" s="4"/>
      <c r="ABC8" s="4"/>
      <c r="ABD8" s="4"/>
      <c r="ABE8" s="4"/>
      <c r="ABF8" s="4"/>
      <c r="ABG8" s="4"/>
      <c r="ABH8" s="4"/>
      <c r="ABI8" s="4"/>
      <c r="ABJ8" s="4"/>
      <c r="ABK8" s="4"/>
      <c r="ABL8" s="4"/>
      <c r="ABM8" s="4"/>
      <c r="ABN8" s="4"/>
      <c r="ABO8" s="4"/>
      <c r="ABP8" s="6"/>
      <c r="ABQ8" s="6"/>
      <c r="ABR8" s="6"/>
      <c r="ABS8" s="6"/>
      <c r="ABT8" s="6"/>
      <c r="ABU8" s="6"/>
      <c r="ABV8" s="6"/>
      <c r="ABW8" s="6"/>
      <c r="ABX8" s="4"/>
      <c r="ABY8" s="4"/>
      <c r="ABZ8" s="4"/>
      <c r="ACA8" s="4"/>
      <c r="ACB8" s="4"/>
      <c r="ACC8" s="4"/>
      <c r="ACD8" s="4"/>
      <c r="ACE8" s="4"/>
      <c r="ACF8" s="4"/>
      <c r="ACG8" s="4"/>
      <c r="ACH8" s="4"/>
      <c r="ACI8" s="4"/>
      <c r="ACJ8" s="4"/>
      <c r="ACK8" s="4"/>
      <c r="ACL8" s="4"/>
      <c r="ACM8" s="4"/>
      <c r="ACN8" s="6"/>
      <c r="ACO8" s="6"/>
    </row>
    <row r="9" spans="1:769" x14ac:dyDescent="0.25">
      <c r="A9" s="25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6"/>
      <c r="BU9" s="6"/>
      <c r="BV9" s="6"/>
      <c r="BW9" s="6"/>
      <c r="BX9" s="6"/>
      <c r="BY9" s="6"/>
      <c r="BZ9" s="6"/>
      <c r="CA9" s="6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6"/>
      <c r="CS9" s="6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6"/>
      <c r="IG9" s="6"/>
      <c r="IH9" s="6"/>
      <c r="II9" s="6"/>
      <c r="IJ9" s="6"/>
      <c r="IK9" s="6"/>
      <c r="IL9" s="6"/>
      <c r="IM9" s="6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6"/>
      <c r="JE9" s="6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6"/>
      <c r="OS9" s="6"/>
      <c r="OT9" s="6"/>
      <c r="OU9" s="6"/>
      <c r="OV9" s="6"/>
      <c r="OW9" s="6"/>
      <c r="OX9" s="6"/>
      <c r="OY9" s="6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6"/>
      <c r="PQ9" s="6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4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4"/>
      <c r="UM9" s="4"/>
      <c r="UN9" s="4"/>
      <c r="UO9" s="4"/>
      <c r="UP9" s="4"/>
      <c r="UQ9" s="4"/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6"/>
      <c r="VE9" s="6"/>
      <c r="VF9" s="6"/>
      <c r="VG9" s="6"/>
      <c r="VH9" s="6"/>
      <c r="VI9" s="6"/>
      <c r="VJ9" s="6"/>
      <c r="VK9" s="6"/>
      <c r="VL9" s="8"/>
      <c r="VM9" s="8"/>
      <c r="VN9" s="8"/>
      <c r="VO9" s="8"/>
      <c r="VP9" s="8"/>
      <c r="VQ9" s="8"/>
      <c r="VR9" s="8"/>
      <c r="VS9" s="8"/>
      <c r="VT9" s="8"/>
      <c r="VU9" s="8"/>
      <c r="VV9" s="8"/>
      <c r="VW9" s="8"/>
      <c r="VX9" s="8"/>
      <c r="VY9" s="8"/>
      <c r="VZ9" s="8"/>
      <c r="WA9" s="8"/>
      <c r="WB9" s="6"/>
      <c r="WC9" s="6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4"/>
      <c r="WS9" s="4"/>
      <c r="WT9" s="4"/>
      <c r="WU9" s="4"/>
      <c r="WV9" s="4"/>
      <c r="WW9" s="4"/>
      <c r="WX9" s="4"/>
      <c r="WY9" s="4"/>
      <c r="WZ9" s="4"/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4"/>
      <c r="XY9" s="4"/>
      <c r="XZ9" s="4"/>
      <c r="YA9" s="4"/>
      <c r="YB9" s="4"/>
      <c r="YC9" s="4"/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4"/>
      <c r="ZB9" s="4"/>
      <c r="ZC9" s="4"/>
      <c r="ZD9" s="4"/>
      <c r="ZE9" s="4"/>
      <c r="ZF9" s="4"/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4"/>
      <c r="AAE9" s="4"/>
      <c r="AAF9" s="4"/>
      <c r="AAG9" s="4"/>
      <c r="AAH9" s="4"/>
      <c r="AAI9" s="4"/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4"/>
      <c r="ABH9" s="4"/>
      <c r="ABI9" s="4"/>
      <c r="ABJ9" s="4"/>
      <c r="ABK9" s="4"/>
      <c r="ABL9" s="4"/>
      <c r="ABM9" s="4"/>
      <c r="ABN9" s="4"/>
      <c r="ABO9" s="4"/>
      <c r="ABP9" s="6"/>
      <c r="ABQ9" s="6"/>
      <c r="ABR9" s="6"/>
      <c r="ABS9" s="6"/>
      <c r="ABT9" s="6"/>
      <c r="ABU9" s="6"/>
      <c r="ABV9" s="6"/>
      <c r="ABW9" s="6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4"/>
      <c r="ACK9" s="4"/>
      <c r="ACL9" s="4"/>
      <c r="ACM9" s="4"/>
      <c r="ACN9" s="6"/>
      <c r="ACO9" s="6"/>
    </row>
    <row r="10" spans="1:769" x14ac:dyDescent="0.25">
      <c r="A10" s="25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6"/>
      <c r="BU10" s="6"/>
      <c r="BV10" s="6"/>
      <c r="BW10" s="6"/>
      <c r="BX10" s="6"/>
      <c r="BY10" s="6"/>
      <c r="BZ10" s="6"/>
      <c r="CA10" s="6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6"/>
      <c r="CS10" s="6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6"/>
      <c r="IG10" s="6"/>
      <c r="IH10" s="6"/>
      <c r="II10" s="6"/>
      <c r="IJ10" s="6"/>
      <c r="IK10" s="6"/>
      <c r="IL10" s="6"/>
      <c r="IM10" s="6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6"/>
      <c r="JE10" s="6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6"/>
      <c r="OS10" s="6"/>
      <c r="OT10" s="6"/>
      <c r="OU10" s="6"/>
      <c r="OV10" s="6"/>
      <c r="OW10" s="6"/>
      <c r="OX10" s="6"/>
      <c r="OY10" s="6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6"/>
      <c r="PQ10" s="6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4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  <c r="UG10" s="4"/>
      <c r="UH10" s="4"/>
      <c r="UI10" s="4"/>
      <c r="UJ10" s="4"/>
      <c r="UK10" s="4"/>
      <c r="UL10" s="4"/>
      <c r="UM10" s="4"/>
      <c r="UN10" s="4"/>
      <c r="UO10" s="4"/>
      <c r="UP10" s="4"/>
      <c r="UQ10" s="4"/>
      <c r="UR10" s="4"/>
      <c r="US10" s="4"/>
      <c r="UT10" s="4"/>
      <c r="UU10" s="4"/>
      <c r="UV10" s="4"/>
      <c r="UW10" s="4"/>
      <c r="UX10" s="4"/>
      <c r="UY10" s="4"/>
      <c r="UZ10" s="4"/>
      <c r="VA10" s="4"/>
      <c r="VB10" s="4"/>
      <c r="VC10" s="4"/>
      <c r="VD10" s="6"/>
      <c r="VE10" s="6"/>
      <c r="VF10" s="6"/>
      <c r="VG10" s="6"/>
      <c r="VH10" s="6"/>
      <c r="VI10" s="6"/>
      <c r="VJ10" s="6"/>
      <c r="VK10" s="6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6"/>
      <c r="WC10" s="6"/>
      <c r="WD10" s="4"/>
      <c r="WE10" s="4"/>
      <c r="WF10" s="4"/>
      <c r="WG10" s="4"/>
      <c r="WH10" s="4"/>
      <c r="WI10" s="4"/>
      <c r="WJ10" s="4"/>
      <c r="WK10" s="4"/>
      <c r="WL10" s="4"/>
      <c r="WM10" s="4"/>
      <c r="WN10" s="4"/>
      <c r="WO10" s="4"/>
      <c r="WP10" s="4"/>
      <c r="WQ10" s="4"/>
      <c r="WR10" s="4"/>
      <c r="WS10" s="4"/>
      <c r="WT10" s="4"/>
      <c r="WU10" s="4"/>
      <c r="WV10" s="4"/>
      <c r="WW10" s="4"/>
      <c r="WX10" s="4"/>
      <c r="WY10" s="4"/>
      <c r="WZ10" s="4"/>
      <c r="XA10" s="4"/>
      <c r="XB10" s="4"/>
      <c r="XC10" s="4"/>
      <c r="XD10" s="4"/>
      <c r="XE10" s="4"/>
      <c r="XF10" s="4"/>
      <c r="XG10" s="4"/>
      <c r="XH10" s="4"/>
      <c r="XI10" s="4"/>
      <c r="XJ10" s="4"/>
      <c r="XK10" s="4"/>
      <c r="XL10" s="4"/>
      <c r="XM10" s="4"/>
      <c r="XN10" s="4"/>
      <c r="XO10" s="4"/>
      <c r="XP10" s="4"/>
      <c r="XQ10" s="4"/>
      <c r="XR10" s="4"/>
      <c r="XS10" s="4"/>
      <c r="XT10" s="4"/>
      <c r="XU10" s="4"/>
      <c r="XV10" s="4"/>
      <c r="XW10" s="4"/>
      <c r="XX10" s="4"/>
      <c r="XY10" s="4"/>
      <c r="XZ10" s="4"/>
      <c r="YA10" s="4"/>
      <c r="YB10" s="4"/>
      <c r="YC10" s="4"/>
      <c r="YD10" s="4"/>
      <c r="YE10" s="4"/>
      <c r="YF10" s="4"/>
      <c r="YG10" s="4"/>
      <c r="YH10" s="4"/>
      <c r="YI10" s="4"/>
      <c r="YJ10" s="4"/>
      <c r="YK10" s="4"/>
      <c r="YL10" s="4"/>
      <c r="YM10" s="4"/>
      <c r="YN10" s="4"/>
      <c r="YO10" s="4"/>
      <c r="YP10" s="4"/>
      <c r="YQ10" s="4"/>
      <c r="YR10" s="4"/>
      <c r="YS10" s="4"/>
      <c r="YT10" s="4"/>
      <c r="YU10" s="4"/>
      <c r="YV10" s="4"/>
      <c r="YW10" s="4"/>
      <c r="YX10" s="4"/>
      <c r="YY10" s="4"/>
      <c r="YZ10" s="4"/>
      <c r="ZA10" s="4"/>
      <c r="ZB10" s="4"/>
      <c r="ZC10" s="4"/>
      <c r="ZD10" s="4"/>
      <c r="ZE10" s="4"/>
      <c r="ZF10" s="4"/>
      <c r="ZG10" s="4"/>
      <c r="ZH10" s="4"/>
      <c r="ZI10" s="4"/>
      <c r="ZJ10" s="4"/>
      <c r="ZK10" s="4"/>
      <c r="ZL10" s="4"/>
      <c r="ZM10" s="4"/>
      <c r="ZN10" s="4"/>
      <c r="ZO10" s="4"/>
      <c r="ZP10" s="4"/>
      <c r="ZQ10" s="4"/>
      <c r="ZR10" s="4"/>
      <c r="ZS10" s="4"/>
      <c r="ZT10" s="4"/>
      <c r="ZU10" s="4"/>
      <c r="ZV10" s="4"/>
      <c r="ZW10" s="4"/>
      <c r="ZX10" s="4"/>
      <c r="ZY10" s="4"/>
      <c r="ZZ10" s="4"/>
      <c r="AAA10" s="4"/>
      <c r="AAB10" s="4"/>
      <c r="AAC10" s="4"/>
      <c r="AAD10" s="4"/>
      <c r="AAE10" s="4"/>
      <c r="AAF10" s="4"/>
      <c r="AAG10" s="4"/>
      <c r="AAH10" s="4"/>
      <c r="AAI10" s="4"/>
      <c r="AAJ10" s="4"/>
      <c r="AAK10" s="4"/>
      <c r="AAL10" s="4"/>
      <c r="AAM10" s="4"/>
      <c r="AAN10" s="4"/>
      <c r="AAO10" s="4"/>
      <c r="AAP10" s="4"/>
      <c r="AAQ10" s="4"/>
      <c r="AAR10" s="4"/>
      <c r="AAS10" s="4"/>
      <c r="AAT10" s="4"/>
      <c r="AAU10" s="4"/>
      <c r="AAV10" s="4"/>
      <c r="AAW10" s="4"/>
      <c r="AAX10" s="4"/>
      <c r="AAY10" s="4"/>
      <c r="AAZ10" s="4"/>
      <c r="ABA10" s="4"/>
      <c r="ABB10" s="4"/>
      <c r="ABC10" s="4"/>
      <c r="ABD10" s="4"/>
      <c r="ABE10" s="4"/>
      <c r="ABF10" s="4"/>
      <c r="ABG10" s="4"/>
      <c r="ABH10" s="4"/>
      <c r="ABI10" s="4"/>
      <c r="ABJ10" s="4"/>
      <c r="ABK10" s="4"/>
      <c r="ABL10" s="4"/>
      <c r="ABM10" s="4"/>
      <c r="ABN10" s="4"/>
      <c r="ABO10" s="4"/>
      <c r="ABP10" s="6"/>
      <c r="ABQ10" s="6"/>
      <c r="ABR10" s="6"/>
      <c r="ABS10" s="6"/>
      <c r="ABT10" s="6"/>
      <c r="ABU10" s="6"/>
      <c r="ABV10" s="6"/>
      <c r="ABW10" s="6"/>
      <c r="ABX10" s="4"/>
      <c r="ABY10" s="4"/>
      <c r="ABZ10" s="4"/>
      <c r="ACA10" s="4"/>
      <c r="ACB10" s="4"/>
      <c r="ACC10" s="4"/>
      <c r="ACD10" s="4"/>
      <c r="ACE10" s="4"/>
      <c r="ACF10" s="4"/>
      <c r="ACG10" s="4"/>
      <c r="ACH10" s="4"/>
      <c r="ACI10" s="4"/>
      <c r="ACJ10" s="4"/>
      <c r="ACK10" s="4"/>
      <c r="ACL10" s="4"/>
      <c r="ACM10" s="4"/>
      <c r="ACN10" s="6"/>
      <c r="ACO10" s="6"/>
    </row>
    <row r="11" spans="1:769" x14ac:dyDescent="0.25">
      <c r="A11" s="25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6"/>
      <c r="BU11" s="6"/>
      <c r="BV11" s="6"/>
      <c r="BW11" s="6"/>
      <c r="BX11" s="6"/>
      <c r="BY11" s="6"/>
      <c r="BZ11" s="6"/>
      <c r="CA11" s="6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6"/>
      <c r="CS11" s="6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6"/>
      <c r="IG11" s="6"/>
      <c r="IH11" s="6"/>
      <c r="II11" s="6"/>
      <c r="IJ11" s="6"/>
      <c r="IK11" s="6"/>
      <c r="IL11" s="6"/>
      <c r="IM11" s="6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6"/>
      <c r="JE11" s="6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6"/>
      <c r="OS11" s="6"/>
      <c r="OT11" s="6"/>
      <c r="OU11" s="6"/>
      <c r="OV11" s="6"/>
      <c r="OW11" s="6"/>
      <c r="OX11" s="6"/>
      <c r="OY11" s="6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6"/>
      <c r="PQ11" s="6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4"/>
      <c r="UR11" s="4"/>
      <c r="US11" s="4"/>
      <c r="UT11" s="4"/>
      <c r="UU11" s="4"/>
      <c r="UV11" s="4"/>
      <c r="UW11" s="4"/>
      <c r="UX11" s="4"/>
      <c r="UY11" s="4"/>
      <c r="UZ11" s="4"/>
      <c r="VA11" s="4"/>
      <c r="VB11" s="4"/>
      <c r="VC11" s="4"/>
      <c r="VD11" s="6"/>
      <c r="VE11" s="6"/>
      <c r="VF11" s="6"/>
      <c r="VG11" s="6"/>
      <c r="VH11" s="6"/>
      <c r="VI11" s="6"/>
      <c r="VJ11" s="6"/>
      <c r="VK11" s="6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6"/>
      <c r="WC11" s="6"/>
      <c r="WD11" s="4"/>
      <c r="WE11" s="4"/>
      <c r="WF11" s="4"/>
      <c r="WG11" s="4"/>
      <c r="WH11" s="4"/>
      <c r="WI11" s="4"/>
      <c r="WJ11" s="4"/>
      <c r="WK11" s="4"/>
      <c r="WL11" s="4"/>
      <c r="WM11" s="4"/>
      <c r="WN11" s="4"/>
      <c r="WO11" s="4"/>
      <c r="WP11" s="4"/>
      <c r="WQ11" s="4"/>
      <c r="WR11" s="4"/>
      <c r="WS11" s="4"/>
      <c r="WT11" s="4"/>
      <c r="WU11" s="4"/>
      <c r="WV11" s="4"/>
      <c r="WW11" s="4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6"/>
      <c r="ABQ11" s="6"/>
      <c r="ABR11" s="6"/>
      <c r="ABS11" s="6"/>
      <c r="ABT11" s="6"/>
      <c r="ABU11" s="6"/>
      <c r="ABV11" s="6"/>
      <c r="ABW11" s="6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6"/>
      <c r="ACO11" s="6"/>
    </row>
    <row r="12" spans="1:769" x14ac:dyDescent="0.25">
      <c r="A12" s="35" t="s">
        <v>37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6"/>
      <c r="BU12" s="6"/>
      <c r="BV12" s="6"/>
      <c r="BW12" s="6"/>
      <c r="BX12" s="6"/>
      <c r="BY12" s="6"/>
      <c r="BZ12" s="6"/>
      <c r="CA12" s="6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6"/>
      <c r="CS12" s="6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6"/>
      <c r="IG12" s="6"/>
      <c r="IH12" s="6"/>
      <c r="II12" s="6"/>
      <c r="IJ12" s="6"/>
      <c r="IK12" s="6"/>
      <c r="IL12" s="6"/>
      <c r="IM12" s="6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6"/>
      <c r="JE12" s="6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6"/>
      <c r="OS12" s="6"/>
      <c r="OT12" s="6"/>
      <c r="OU12" s="6"/>
      <c r="OV12" s="6"/>
      <c r="OW12" s="6"/>
      <c r="OX12" s="6"/>
      <c r="OY12" s="6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6"/>
      <c r="PQ12" s="6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6"/>
      <c r="VE12" s="6"/>
      <c r="VF12" s="6"/>
      <c r="VG12" s="6"/>
      <c r="VH12" s="6"/>
      <c r="VI12" s="6"/>
      <c r="VJ12" s="6"/>
      <c r="VK12" s="6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6"/>
      <c r="WC12" s="6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6"/>
      <c r="ABQ12" s="6"/>
      <c r="ABR12" s="6"/>
      <c r="ABS12" s="6"/>
      <c r="ABT12" s="6"/>
      <c r="ABU12" s="6"/>
      <c r="ABV12" s="6"/>
      <c r="ABW12" s="6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6"/>
      <c r="ACO12" s="6"/>
    </row>
    <row r="13" spans="1:769" x14ac:dyDescent="0.25">
      <c r="A13" s="25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6"/>
      <c r="BU13" s="6"/>
      <c r="BV13" s="6"/>
      <c r="BW13" s="6"/>
      <c r="BX13" s="6"/>
      <c r="BY13" s="6"/>
      <c r="BZ13" s="6"/>
      <c r="CA13" s="6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6"/>
      <c r="CS13" s="6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6"/>
      <c r="IG13" s="6"/>
      <c r="IH13" s="6"/>
      <c r="II13" s="6"/>
      <c r="IJ13" s="6"/>
      <c r="IK13" s="6"/>
      <c r="IL13" s="6"/>
      <c r="IM13" s="6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6"/>
      <c r="JE13" s="6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6"/>
      <c r="OS13" s="6"/>
      <c r="OT13" s="6"/>
      <c r="OU13" s="6"/>
      <c r="OV13" s="6"/>
      <c r="OW13" s="6"/>
      <c r="OX13" s="6"/>
      <c r="OY13" s="6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6"/>
      <c r="PQ13" s="6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6"/>
      <c r="VE13" s="6"/>
      <c r="VF13" s="6"/>
      <c r="VG13" s="6"/>
      <c r="VH13" s="6"/>
      <c r="VI13" s="6"/>
      <c r="VJ13" s="6"/>
      <c r="VK13" s="6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6"/>
      <c r="WC13" s="6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6"/>
      <c r="ABQ13" s="6"/>
      <c r="ABR13" s="6"/>
      <c r="ABS13" s="6"/>
      <c r="ABT13" s="6"/>
      <c r="ABU13" s="6"/>
      <c r="ABV13" s="6"/>
      <c r="ABW13" s="6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6"/>
      <c r="ACO13" s="6"/>
    </row>
    <row r="14" spans="1:769" x14ac:dyDescent="0.25">
      <c r="A14" s="25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6"/>
      <c r="BU14" s="6"/>
      <c r="BV14" s="6"/>
      <c r="BW14" s="6"/>
      <c r="BX14" s="6"/>
      <c r="BY14" s="6"/>
      <c r="BZ14" s="6"/>
      <c r="CA14" s="6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6"/>
      <c r="CS14" s="6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6"/>
      <c r="IG14" s="6"/>
      <c r="IH14" s="6"/>
      <c r="II14" s="6"/>
      <c r="IJ14" s="6"/>
      <c r="IK14" s="6"/>
      <c r="IL14" s="6"/>
      <c r="IM14" s="6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6"/>
      <c r="JE14" s="6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6"/>
      <c r="OS14" s="6"/>
      <c r="OT14" s="6"/>
      <c r="OU14" s="6"/>
      <c r="OV14" s="6"/>
      <c r="OW14" s="6"/>
      <c r="OX14" s="6"/>
      <c r="OY14" s="6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6"/>
      <c r="PQ14" s="6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6"/>
      <c r="VE14" s="6"/>
      <c r="VF14" s="6"/>
      <c r="VG14" s="6"/>
      <c r="VH14" s="6"/>
      <c r="VI14" s="6"/>
      <c r="VJ14" s="6"/>
      <c r="VK14" s="6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6"/>
      <c r="WC14" s="6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6"/>
      <c r="ABQ14" s="6"/>
      <c r="ABR14" s="6"/>
      <c r="ABS14" s="6"/>
      <c r="ABT14" s="6"/>
      <c r="ABU14" s="6"/>
      <c r="ABV14" s="6"/>
      <c r="ABW14" s="6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6"/>
      <c r="ACO14" s="6"/>
    </row>
    <row r="15" spans="1:769" x14ac:dyDescent="0.25">
      <c r="A15" s="25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6"/>
      <c r="BU15" s="6"/>
      <c r="BV15" s="6"/>
      <c r="BW15" s="6"/>
      <c r="BX15" s="6"/>
      <c r="BY15" s="6"/>
      <c r="BZ15" s="6"/>
      <c r="CA15" s="6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6"/>
      <c r="CS15" s="6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6"/>
      <c r="IG15" s="6"/>
      <c r="IH15" s="6"/>
      <c r="II15" s="6"/>
      <c r="IJ15" s="6"/>
      <c r="IK15" s="6"/>
      <c r="IL15" s="6"/>
      <c r="IM15" s="6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6"/>
      <c r="JE15" s="6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6"/>
      <c r="OS15" s="6"/>
      <c r="OT15" s="6"/>
      <c r="OU15" s="6"/>
      <c r="OV15" s="6"/>
      <c r="OW15" s="6"/>
      <c r="OX15" s="6"/>
      <c r="OY15" s="6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6"/>
      <c r="PQ15" s="6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6"/>
      <c r="VE15" s="6"/>
      <c r="VF15" s="6"/>
      <c r="VG15" s="6"/>
      <c r="VH15" s="6"/>
      <c r="VI15" s="6"/>
      <c r="VJ15" s="6"/>
      <c r="VK15" s="6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6"/>
      <c r="WC15" s="6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6"/>
      <c r="ABQ15" s="6"/>
      <c r="ABR15" s="6"/>
      <c r="ABS15" s="6"/>
      <c r="ABT15" s="6"/>
      <c r="ABU15" s="6"/>
      <c r="ABV15" s="6"/>
      <c r="ABW15" s="6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6"/>
      <c r="ACO15" s="6"/>
    </row>
    <row r="16" spans="1:769" ht="15" customHeight="1" x14ac:dyDescent="0.25">
      <c r="A16" s="36" t="s">
        <v>38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6"/>
      <c r="BU16" s="6"/>
      <c r="BV16" s="6"/>
      <c r="BW16" s="6"/>
      <c r="BX16" s="6"/>
      <c r="BY16" s="6"/>
      <c r="BZ16" s="6"/>
      <c r="CA16" s="6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6"/>
      <c r="CS16" s="6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6"/>
      <c r="IG16" s="6"/>
      <c r="IH16" s="6"/>
      <c r="II16" s="6"/>
      <c r="IJ16" s="6"/>
      <c r="IK16" s="6"/>
      <c r="IL16" s="6"/>
      <c r="IM16" s="6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6"/>
      <c r="JE16" s="6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6"/>
      <c r="OS16" s="6"/>
      <c r="OT16" s="6"/>
      <c r="OU16" s="6"/>
      <c r="OV16" s="6"/>
      <c r="OW16" s="6"/>
      <c r="OX16" s="6"/>
      <c r="OY16" s="6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6"/>
      <c r="PQ16" s="6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6"/>
      <c r="VE16" s="6"/>
      <c r="VF16" s="6"/>
      <c r="VG16" s="6"/>
      <c r="VH16" s="6"/>
      <c r="VI16" s="6"/>
      <c r="VJ16" s="6"/>
      <c r="VK16" s="6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6"/>
      <c r="WC16" s="6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6"/>
      <c r="ABQ16" s="6"/>
      <c r="ABR16" s="6"/>
      <c r="ABS16" s="6"/>
      <c r="ABT16" s="6"/>
      <c r="ABU16" s="6"/>
      <c r="ABV16" s="6"/>
      <c r="ABW16" s="6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6"/>
      <c r="ACO16" s="6"/>
    </row>
    <row r="17" spans="1:769" x14ac:dyDescent="0.25">
      <c r="A17" s="25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6"/>
      <c r="BU17" s="6"/>
      <c r="BV17" s="6"/>
      <c r="BW17" s="6"/>
      <c r="BX17" s="6"/>
      <c r="BY17" s="6"/>
      <c r="BZ17" s="6"/>
      <c r="CA17" s="6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6"/>
      <c r="CS17" s="6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6"/>
      <c r="IG17" s="6"/>
      <c r="IH17" s="6"/>
      <c r="II17" s="6"/>
      <c r="IJ17" s="6"/>
      <c r="IK17" s="6"/>
      <c r="IL17" s="6"/>
      <c r="IM17" s="6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6"/>
      <c r="JE17" s="6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6"/>
      <c r="OS17" s="6"/>
      <c r="OT17" s="6"/>
      <c r="OU17" s="6"/>
      <c r="OV17" s="6"/>
      <c r="OW17" s="6"/>
      <c r="OX17" s="6"/>
      <c r="OY17" s="6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6"/>
      <c r="PQ17" s="6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6"/>
      <c r="VE17" s="6"/>
      <c r="VF17" s="6"/>
      <c r="VG17" s="6"/>
      <c r="VH17" s="6"/>
      <c r="VI17" s="6"/>
      <c r="VJ17" s="6"/>
      <c r="VK17" s="6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6"/>
      <c r="WC17" s="6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6"/>
      <c r="ABQ17" s="6"/>
      <c r="ABR17" s="6"/>
      <c r="ABS17" s="6"/>
      <c r="ABT17" s="6"/>
      <c r="ABU17" s="6"/>
      <c r="ABV17" s="6"/>
      <c r="ABW17" s="6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6"/>
      <c r="ACO17" s="6"/>
    </row>
    <row r="18" spans="1:769" x14ac:dyDescent="0.25">
      <c r="A18" s="25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6"/>
      <c r="BU18" s="6"/>
      <c r="BV18" s="6"/>
      <c r="BW18" s="6"/>
      <c r="BX18" s="6"/>
      <c r="BY18" s="6"/>
      <c r="BZ18" s="6"/>
      <c r="CA18" s="6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6"/>
      <c r="CS18" s="6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6"/>
      <c r="IG18" s="6"/>
      <c r="IH18" s="6"/>
      <c r="II18" s="6"/>
      <c r="IJ18" s="6"/>
      <c r="IK18" s="6"/>
      <c r="IL18" s="6"/>
      <c r="IM18" s="6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6"/>
      <c r="JE18" s="6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6"/>
      <c r="OS18" s="6"/>
      <c r="OT18" s="6"/>
      <c r="OU18" s="6"/>
      <c r="OV18" s="6"/>
      <c r="OW18" s="6"/>
      <c r="OX18" s="6"/>
      <c r="OY18" s="6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6"/>
      <c r="PQ18" s="6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4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  <c r="UG18" s="4"/>
      <c r="UH18" s="4"/>
      <c r="UI18" s="4"/>
      <c r="UJ18" s="4"/>
      <c r="UK18" s="4"/>
      <c r="UL18" s="4"/>
      <c r="UM18" s="4"/>
      <c r="UN18" s="4"/>
      <c r="UO18" s="4"/>
      <c r="UP18" s="4"/>
      <c r="UQ18" s="4"/>
      <c r="UR18" s="4"/>
      <c r="US18" s="4"/>
      <c r="UT18" s="4"/>
      <c r="UU18" s="4"/>
      <c r="UV18" s="4"/>
      <c r="UW18" s="4"/>
      <c r="UX18" s="4"/>
      <c r="UY18" s="4"/>
      <c r="UZ18" s="4"/>
      <c r="VA18" s="4"/>
      <c r="VB18" s="4"/>
      <c r="VC18" s="4"/>
      <c r="VD18" s="6"/>
      <c r="VE18" s="6"/>
      <c r="VF18" s="6"/>
      <c r="VG18" s="6"/>
      <c r="VH18" s="6"/>
      <c r="VI18" s="6"/>
      <c r="VJ18" s="6"/>
      <c r="VK18" s="6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6"/>
      <c r="WC18" s="6"/>
      <c r="WD18" s="4"/>
      <c r="WE18" s="4"/>
      <c r="WF18" s="4"/>
      <c r="WG18" s="4"/>
      <c r="WH18" s="4"/>
      <c r="WI18" s="4"/>
      <c r="WJ18" s="4"/>
      <c r="WK18" s="4"/>
      <c r="WL18" s="4"/>
      <c r="WM18" s="4"/>
      <c r="WN18" s="4"/>
      <c r="WO18" s="4"/>
      <c r="WP18" s="4"/>
      <c r="WQ18" s="4"/>
      <c r="WR18" s="4"/>
      <c r="WS18" s="4"/>
      <c r="WT18" s="4"/>
      <c r="WU18" s="4"/>
      <c r="WV18" s="4"/>
      <c r="WW18" s="4"/>
      <c r="WX18" s="4"/>
      <c r="WY18" s="4"/>
      <c r="WZ18" s="4"/>
      <c r="XA18" s="4"/>
      <c r="XB18" s="4"/>
      <c r="XC18" s="4"/>
      <c r="XD18" s="4"/>
      <c r="XE18" s="4"/>
      <c r="XF18" s="4"/>
      <c r="XG18" s="4"/>
      <c r="XH18" s="4"/>
      <c r="XI18" s="4"/>
      <c r="XJ18" s="4"/>
      <c r="XK18" s="4"/>
      <c r="XL18" s="4"/>
      <c r="XM18" s="4"/>
      <c r="XN18" s="4"/>
      <c r="XO18" s="4"/>
      <c r="XP18" s="4"/>
      <c r="XQ18" s="4"/>
      <c r="XR18" s="4"/>
      <c r="XS18" s="4"/>
      <c r="XT18" s="4"/>
      <c r="XU18" s="4"/>
      <c r="XV18" s="4"/>
      <c r="XW18" s="4"/>
      <c r="XX18" s="4"/>
      <c r="XY18" s="4"/>
      <c r="XZ18" s="4"/>
      <c r="YA18" s="4"/>
      <c r="YB18" s="4"/>
      <c r="YC18" s="4"/>
      <c r="YD18" s="4"/>
      <c r="YE18" s="4"/>
      <c r="YF18" s="4"/>
      <c r="YG18" s="4"/>
      <c r="YH18" s="4"/>
      <c r="YI18" s="4"/>
      <c r="YJ18" s="4"/>
      <c r="YK18" s="4"/>
      <c r="YL18" s="4"/>
      <c r="YM18" s="4"/>
      <c r="YN18" s="4"/>
      <c r="YO18" s="4"/>
      <c r="YP18" s="4"/>
      <c r="YQ18" s="4"/>
      <c r="YR18" s="4"/>
      <c r="YS18" s="4"/>
      <c r="YT18" s="4"/>
      <c r="YU18" s="4"/>
      <c r="YV18" s="4"/>
      <c r="YW18" s="4"/>
      <c r="YX18" s="4"/>
      <c r="YY18" s="4"/>
      <c r="YZ18" s="4"/>
      <c r="ZA18" s="4"/>
      <c r="ZB18" s="4"/>
      <c r="ZC18" s="4"/>
      <c r="ZD18" s="4"/>
      <c r="ZE18" s="4"/>
      <c r="ZF18" s="4"/>
      <c r="ZG18" s="4"/>
      <c r="ZH18" s="4"/>
      <c r="ZI18" s="4"/>
      <c r="ZJ18" s="4"/>
      <c r="ZK18" s="4"/>
      <c r="ZL18" s="4"/>
      <c r="ZM18" s="4"/>
      <c r="ZN18" s="4"/>
      <c r="ZO18" s="4"/>
      <c r="ZP18" s="4"/>
      <c r="ZQ18" s="4"/>
      <c r="ZR18" s="4"/>
      <c r="ZS18" s="4"/>
      <c r="ZT18" s="4"/>
      <c r="ZU18" s="4"/>
      <c r="ZV18" s="4"/>
      <c r="ZW18" s="4"/>
      <c r="ZX18" s="4"/>
      <c r="ZY18" s="4"/>
      <c r="ZZ18" s="4"/>
      <c r="AAA18" s="4"/>
      <c r="AAB18" s="4"/>
      <c r="AAC18" s="4"/>
      <c r="AAD18" s="4"/>
      <c r="AAE18" s="4"/>
      <c r="AAF18" s="4"/>
      <c r="AAG18" s="4"/>
      <c r="AAH18" s="4"/>
      <c r="AAI18" s="4"/>
      <c r="AAJ18" s="4"/>
      <c r="AAK18" s="4"/>
      <c r="AAL18" s="4"/>
      <c r="AAM18" s="4"/>
      <c r="AAN18" s="4"/>
      <c r="AAO18" s="4"/>
      <c r="AAP18" s="4"/>
      <c r="AAQ18" s="4"/>
      <c r="AAR18" s="4"/>
      <c r="AAS18" s="4"/>
      <c r="AAT18" s="4"/>
      <c r="AAU18" s="4"/>
      <c r="AAV18" s="4"/>
      <c r="AAW18" s="4"/>
      <c r="AAX18" s="4"/>
      <c r="AAY18" s="4"/>
      <c r="AAZ18" s="4"/>
      <c r="ABA18" s="4"/>
      <c r="ABB18" s="4"/>
      <c r="ABC18" s="4"/>
      <c r="ABD18" s="4"/>
      <c r="ABE18" s="4"/>
      <c r="ABF18" s="4"/>
      <c r="ABG18" s="4"/>
      <c r="ABH18" s="4"/>
      <c r="ABI18" s="4"/>
      <c r="ABJ18" s="4"/>
      <c r="ABK18" s="4"/>
      <c r="ABL18" s="4"/>
      <c r="ABM18" s="4"/>
      <c r="ABN18" s="4"/>
      <c r="ABO18" s="4"/>
      <c r="ABP18" s="6"/>
      <c r="ABQ18" s="6"/>
      <c r="ABR18" s="6"/>
      <c r="ABS18" s="6"/>
      <c r="ABT18" s="6"/>
      <c r="ABU18" s="6"/>
      <c r="ABV18" s="6"/>
      <c r="ABW18" s="6"/>
      <c r="ABX18" s="4"/>
      <c r="ABY18" s="4"/>
      <c r="ABZ18" s="4"/>
      <c r="ACA18" s="4"/>
      <c r="ACB18" s="4"/>
      <c r="ACC18" s="4"/>
      <c r="ACD18" s="4"/>
      <c r="ACE18" s="4"/>
      <c r="ACF18" s="4"/>
      <c r="ACG18" s="4"/>
      <c r="ACH18" s="4"/>
      <c r="ACI18" s="4"/>
      <c r="ACJ18" s="4"/>
      <c r="ACK18" s="4"/>
      <c r="ACL18" s="4"/>
      <c r="ACM18" s="4"/>
      <c r="ACN18" s="6"/>
      <c r="ACO18" s="6"/>
    </row>
    <row r="19" spans="1:769" x14ac:dyDescent="0.25">
      <c r="A19" s="25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6"/>
      <c r="BU19" s="6"/>
      <c r="BV19" s="6"/>
      <c r="BW19" s="6"/>
      <c r="BX19" s="6"/>
      <c r="BY19" s="6"/>
      <c r="BZ19" s="6"/>
      <c r="CA19" s="6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6"/>
      <c r="CS19" s="6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6"/>
      <c r="IG19" s="6"/>
      <c r="IH19" s="6"/>
      <c r="II19" s="6"/>
      <c r="IJ19" s="6"/>
      <c r="IK19" s="6"/>
      <c r="IL19" s="6"/>
      <c r="IM19" s="6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6"/>
      <c r="JE19" s="6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6"/>
      <c r="OS19" s="6"/>
      <c r="OT19" s="6"/>
      <c r="OU19" s="6"/>
      <c r="OV19" s="6"/>
      <c r="OW19" s="6"/>
      <c r="OX19" s="6"/>
      <c r="OY19" s="6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6"/>
      <c r="PQ19" s="6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4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  <c r="UG19" s="4"/>
      <c r="UH19" s="4"/>
      <c r="UI19" s="4"/>
      <c r="UJ19" s="4"/>
      <c r="UK19" s="4"/>
      <c r="UL19" s="4"/>
      <c r="UM19" s="4"/>
      <c r="UN19" s="4"/>
      <c r="UO19" s="4"/>
      <c r="UP19" s="4"/>
      <c r="UQ19" s="4"/>
      <c r="UR19" s="4"/>
      <c r="US19" s="4"/>
      <c r="UT19" s="4"/>
      <c r="UU19" s="4"/>
      <c r="UV19" s="4"/>
      <c r="UW19" s="4"/>
      <c r="UX19" s="4"/>
      <c r="UY19" s="4"/>
      <c r="UZ19" s="4"/>
      <c r="VA19" s="4"/>
      <c r="VB19" s="4"/>
      <c r="VC19" s="4"/>
      <c r="VD19" s="6"/>
      <c r="VE19" s="6"/>
      <c r="VF19" s="6"/>
      <c r="VG19" s="6"/>
      <c r="VH19" s="6"/>
      <c r="VI19" s="6"/>
      <c r="VJ19" s="6"/>
      <c r="VK19" s="6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6"/>
      <c r="WC19" s="6"/>
      <c r="WD19" s="4"/>
      <c r="WE19" s="4"/>
      <c r="WF19" s="4"/>
      <c r="WG19" s="4"/>
      <c r="WH19" s="4"/>
      <c r="WI19" s="4"/>
      <c r="WJ19" s="4"/>
      <c r="WK19" s="4"/>
      <c r="WL19" s="4"/>
      <c r="WM19" s="4"/>
      <c r="WN19" s="4"/>
      <c r="WO19" s="4"/>
      <c r="WP19" s="4"/>
      <c r="WQ19" s="4"/>
      <c r="WR19" s="4"/>
      <c r="WS19" s="4"/>
      <c r="WT19" s="4"/>
      <c r="WU19" s="4"/>
      <c r="WV19" s="4"/>
      <c r="WW19" s="4"/>
      <c r="WX19" s="4"/>
      <c r="WY19" s="4"/>
      <c r="WZ19" s="4"/>
      <c r="XA19" s="4"/>
      <c r="XB19" s="4"/>
      <c r="XC19" s="4"/>
      <c r="XD19" s="4"/>
      <c r="XE19" s="4"/>
      <c r="XF19" s="4"/>
      <c r="XG19" s="4"/>
      <c r="XH19" s="4"/>
      <c r="XI19" s="4"/>
      <c r="XJ19" s="4"/>
      <c r="XK19" s="4"/>
      <c r="XL19" s="4"/>
      <c r="XM19" s="4"/>
      <c r="XN19" s="4"/>
      <c r="XO19" s="4"/>
      <c r="XP19" s="4"/>
      <c r="XQ19" s="4"/>
      <c r="XR19" s="4"/>
      <c r="XS19" s="4"/>
      <c r="XT19" s="4"/>
      <c r="XU19" s="4"/>
      <c r="XV19" s="4"/>
      <c r="XW19" s="4"/>
      <c r="XX19" s="4"/>
      <c r="XY19" s="4"/>
      <c r="XZ19" s="4"/>
      <c r="YA19" s="4"/>
      <c r="YB19" s="4"/>
      <c r="YC19" s="4"/>
      <c r="YD19" s="4"/>
      <c r="YE19" s="4"/>
      <c r="YF19" s="4"/>
      <c r="YG19" s="4"/>
      <c r="YH19" s="4"/>
      <c r="YI19" s="4"/>
      <c r="YJ19" s="4"/>
      <c r="YK19" s="4"/>
      <c r="YL19" s="4"/>
      <c r="YM19" s="4"/>
      <c r="YN19" s="4"/>
      <c r="YO19" s="4"/>
      <c r="YP19" s="4"/>
      <c r="YQ19" s="4"/>
      <c r="YR19" s="4"/>
      <c r="YS19" s="4"/>
      <c r="YT19" s="4"/>
      <c r="YU19" s="4"/>
      <c r="YV19" s="4"/>
      <c r="YW19" s="4"/>
      <c r="YX19" s="4"/>
      <c r="YY19" s="4"/>
      <c r="YZ19" s="4"/>
      <c r="ZA19" s="4"/>
      <c r="ZB19" s="4"/>
      <c r="ZC19" s="4"/>
      <c r="ZD19" s="4"/>
      <c r="ZE19" s="4"/>
      <c r="ZF19" s="4"/>
      <c r="ZG19" s="4"/>
      <c r="ZH19" s="4"/>
      <c r="ZI19" s="4"/>
      <c r="ZJ19" s="4"/>
      <c r="ZK19" s="4"/>
      <c r="ZL19" s="4"/>
      <c r="ZM19" s="4"/>
      <c r="ZN19" s="4"/>
      <c r="ZO19" s="4"/>
      <c r="ZP19" s="4"/>
      <c r="ZQ19" s="4"/>
      <c r="ZR19" s="4"/>
      <c r="ZS19" s="4"/>
      <c r="ZT19" s="4"/>
      <c r="ZU19" s="4"/>
      <c r="ZV19" s="4"/>
      <c r="ZW19" s="4"/>
      <c r="ZX19" s="4"/>
      <c r="ZY19" s="4"/>
      <c r="ZZ19" s="4"/>
      <c r="AAA19" s="4"/>
      <c r="AAB19" s="4"/>
      <c r="AAC19" s="4"/>
      <c r="AAD19" s="4"/>
      <c r="AAE19" s="4"/>
      <c r="AAF19" s="4"/>
      <c r="AAG19" s="4"/>
      <c r="AAH19" s="4"/>
      <c r="AAI19" s="4"/>
      <c r="AAJ19" s="4"/>
      <c r="AAK19" s="4"/>
      <c r="AAL19" s="4"/>
      <c r="AAM19" s="4"/>
      <c r="AAN19" s="4"/>
      <c r="AAO19" s="4"/>
      <c r="AAP19" s="4"/>
      <c r="AAQ19" s="4"/>
      <c r="AAR19" s="4"/>
      <c r="AAS19" s="4"/>
      <c r="AAT19" s="4"/>
      <c r="AAU19" s="4"/>
      <c r="AAV19" s="4"/>
      <c r="AAW19" s="4"/>
      <c r="AAX19" s="4"/>
      <c r="AAY19" s="4"/>
      <c r="AAZ19" s="4"/>
      <c r="ABA19" s="4"/>
      <c r="ABB19" s="4"/>
      <c r="ABC19" s="4"/>
      <c r="ABD19" s="4"/>
      <c r="ABE19" s="4"/>
      <c r="ABF19" s="4"/>
      <c r="ABG19" s="4"/>
      <c r="ABH19" s="4"/>
      <c r="ABI19" s="4"/>
      <c r="ABJ19" s="4"/>
      <c r="ABK19" s="4"/>
      <c r="ABL19" s="4"/>
      <c r="ABM19" s="4"/>
      <c r="ABN19" s="4"/>
      <c r="ABO19" s="4"/>
      <c r="ABP19" s="6"/>
      <c r="ABQ19" s="6"/>
      <c r="ABR19" s="6"/>
      <c r="ABS19" s="6"/>
      <c r="ABT19" s="6"/>
      <c r="ABU19" s="6"/>
      <c r="ABV19" s="6"/>
      <c r="ABW19" s="6"/>
      <c r="ABX19" s="4"/>
      <c r="ABY19" s="4"/>
      <c r="ABZ19" s="4"/>
      <c r="ACA19" s="4"/>
      <c r="ACB19" s="4"/>
      <c r="ACC19" s="4"/>
      <c r="ACD19" s="4"/>
      <c r="ACE19" s="4"/>
      <c r="ACF19" s="4"/>
      <c r="ACG19" s="4"/>
      <c r="ACH19" s="4"/>
      <c r="ACI19" s="4"/>
      <c r="ACJ19" s="4"/>
      <c r="ACK19" s="4"/>
      <c r="ACL19" s="4"/>
      <c r="ACM19" s="4"/>
      <c r="ACN19" s="6"/>
      <c r="ACO19" s="6"/>
    </row>
    <row r="20" spans="1:769" x14ac:dyDescent="0.25">
      <c r="A20" s="35" t="s">
        <v>39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6"/>
      <c r="BU20" s="6"/>
      <c r="BV20" s="6"/>
      <c r="BW20" s="6"/>
      <c r="BX20" s="6"/>
      <c r="BY20" s="6"/>
      <c r="BZ20" s="6"/>
      <c r="CA20" s="6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6"/>
      <c r="CS20" s="6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6"/>
      <c r="IG20" s="6"/>
      <c r="IH20" s="6"/>
      <c r="II20" s="6"/>
      <c r="IJ20" s="6"/>
      <c r="IK20" s="6"/>
      <c r="IL20" s="6"/>
      <c r="IM20" s="6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6"/>
      <c r="JE20" s="6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6"/>
      <c r="OS20" s="6"/>
      <c r="OT20" s="6"/>
      <c r="OU20" s="6"/>
      <c r="OV20" s="6"/>
      <c r="OW20" s="6"/>
      <c r="OX20" s="6"/>
      <c r="OY20" s="6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6"/>
      <c r="PQ20" s="6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4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  <c r="UG20" s="4"/>
      <c r="UH20" s="4"/>
      <c r="UI20" s="4"/>
      <c r="UJ20" s="4"/>
      <c r="UK20" s="4"/>
      <c r="UL20" s="4"/>
      <c r="UM20" s="4"/>
      <c r="UN20" s="4"/>
      <c r="UO20" s="4"/>
      <c r="UP20" s="4"/>
      <c r="UQ20" s="4"/>
      <c r="UR20" s="4"/>
      <c r="US20" s="4"/>
      <c r="UT20" s="4"/>
      <c r="UU20" s="4"/>
      <c r="UV20" s="4"/>
      <c r="UW20" s="4"/>
      <c r="UX20" s="4"/>
      <c r="UY20" s="4"/>
      <c r="UZ20" s="4"/>
      <c r="VA20" s="4"/>
      <c r="VB20" s="4"/>
      <c r="VC20" s="4"/>
      <c r="VD20" s="6"/>
      <c r="VE20" s="6"/>
      <c r="VF20" s="6"/>
      <c r="VG20" s="6"/>
      <c r="VH20" s="6"/>
      <c r="VI20" s="6"/>
      <c r="VJ20" s="6"/>
      <c r="VK20" s="6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6"/>
      <c r="WC20" s="6"/>
      <c r="WD20" s="4"/>
      <c r="WE20" s="4"/>
      <c r="WF20" s="4"/>
      <c r="WG20" s="4"/>
      <c r="WH20" s="4"/>
      <c r="WI20" s="4"/>
      <c r="WJ20" s="4"/>
      <c r="WK20" s="4"/>
      <c r="WL20" s="4"/>
      <c r="WM20" s="4"/>
      <c r="WN20" s="4"/>
      <c r="WO20" s="4"/>
      <c r="WP20" s="4"/>
      <c r="WQ20" s="4"/>
      <c r="WR20" s="4"/>
      <c r="WS20" s="4"/>
      <c r="WT20" s="4"/>
      <c r="WU20" s="4"/>
      <c r="WV20" s="4"/>
      <c r="WW20" s="4"/>
      <c r="WX20" s="4"/>
      <c r="WY20" s="4"/>
      <c r="WZ20" s="4"/>
      <c r="XA20" s="4"/>
      <c r="XB20" s="4"/>
      <c r="XC20" s="4"/>
      <c r="XD20" s="4"/>
      <c r="XE20" s="4"/>
      <c r="XF20" s="4"/>
      <c r="XG20" s="4"/>
      <c r="XH20" s="4"/>
      <c r="XI20" s="4"/>
      <c r="XJ20" s="4"/>
      <c r="XK20" s="4"/>
      <c r="XL20" s="4"/>
      <c r="XM20" s="4"/>
      <c r="XN20" s="4"/>
      <c r="XO20" s="4"/>
      <c r="XP20" s="4"/>
      <c r="XQ20" s="4"/>
      <c r="XR20" s="4"/>
      <c r="XS20" s="4"/>
      <c r="XT20" s="4"/>
      <c r="XU20" s="4"/>
      <c r="XV20" s="4"/>
      <c r="XW20" s="4"/>
      <c r="XX20" s="4"/>
      <c r="XY20" s="4"/>
      <c r="XZ20" s="4"/>
      <c r="YA20" s="4"/>
      <c r="YB20" s="4"/>
      <c r="YC20" s="4"/>
      <c r="YD20" s="4"/>
      <c r="YE20" s="4"/>
      <c r="YF20" s="4"/>
      <c r="YG20" s="4"/>
      <c r="YH20" s="4"/>
      <c r="YI20" s="4"/>
      <c r="YJ20" s="4"/>
      <c r="YK20" s="4"/>
      <c r="YL20" s="4"/>
      <c r="YM20" s="4"/>
      <c r="YN20" s="4"/>
      <c r="YO20" s="4"/>
      <c r="YP20" s="4"/>
      <c r="YQ20" s="4"/>
      <c r="YR20" s="4"/>
      <c r="YS20" s="4"/>
      <c r="YT20" s="4"/>
      <c r="YU20" s="4"/>
      <c r="YV20" s="4"/>
      <c r="YW20" s="4"/>
      <c r="YX20" s="4"/>
      <c r="YY20" s="4"/>
      <c r="YZ20" s="4"/>
      <c r="ZA20" s="4"/>
      <c r="ZB20" s="4"/>
      <c r="ZC20" s="4"/>
      <c r="ZD20" s="4"/>
      <c r="ZE20" s="4"/>
      <c r="ZF20" s="4"/>
      <c r="ZG20" s="4"/>
      <c r="ZH20" s="4"/>
      <c r="ZI20" s="4"/>
      <c r="ZJ20" s="4"/>
      <c r="ZK20" s="4"/>
      <c r="ZL20" s="4"/>
      <c r="ZM20" s="4"/>
      <c r="ZN20" s="4"/>
      <c r="ZO20" s="4"/>
      <c r="ZP20" s="4"/>
      <c r="ZQ20" s="4"/>
      <c r="ZR20" s="4"/>
      <c r="ZS20" s="4"/>
      <c r="ZT20" s="4"/>
      <c r="ZU20" s="4"/>
      <c r="ZV20" s="4"/>
      <c r="ZW20" s="4"/>
      <c r="ZX20" s="4"/>
      <c r="ZY20" s="4"/>
      <c r="ZZ20" s="4"/>
      <c r="AAA20" s="4"/>
      <c r="AAB20" s="4"/>
      <c r="AAC20" s="4"/>
      <c r="AAD20" s="4"/>
      <c r="AAE20" s="4"/>
      <c r="AAF20" s="4"/>
      <c r="AAG20" s="4"/>
      <c r="AAH20" s="4"/>
      <c r="AAI20" s="4"/>
      <c r="AAJ20" s="4"/>
      <c r="AAK20" s="4"/>
      <c r="AAL20" s="4"/>
      <c r="AAM20" s="4"/>
      <c r="AAN20" s="4"/>
      <c r="AAO20" s="4"/>
      <c r="AAP20" s="4"/>
      <c r="AAQ20" s="4"/>
      <c r="AAR20" s="4"/>
      <c r="AAS20" s="4"/>
      <c r="AAT20" s="4"/>
      <c r="AAU20" s="4"/>
      <c r="AAV20" s="4"/>
      <c r="AAW20" s="4"/>
      <c r="AAX20" s="4"/>
      <c r="AAY20" s="4"/>
      <c r="AAZ20" s="4"/>
      <c r="ABA20" s="4"/>
      <c r="ABB20" s="4"/>
      <c r="ABC20" s="4"/>
      <c r="ABD20" s="4"/>
      <c r="ABE20" s="4"/>
      <c r="ABF20" s="4"/>
      <c r="ABG20" s="4"/>
      <c r="ABH20" s="4"/>
      <c r="ABI20" s="4"/>
      <c r="ABJ20" s="4"/>
      <c r="ABK20" s="4"/>
      <c r="ABL20" s="4"/>
      <c r="ABM20" s="4"/>
      <c r="ABN20" s="4"/>
      <c r="ABO20" s="4"/>
      <c r="ABP20" s="6"/>
      <c r="ABQ20" s="6"/>
      <c r="ABR20" s="6"/>
      <c r="ABS20" s="6"/>
      <c r="ABT20" s="6"/>
      <c r="ABU20" s="6"/>
      <c r="ABV20" s="6"/>
      <c r="ABW20" s="6"/>
      <c r="ABX20" s="4"/>
      <c r="ABY20" s="4"/>
      <c r="ABZ20" s="4"/>
      <c r="ACA20" s="4"/>
      <c r="ACB20" s="4"/>
      <c r="ACC20" s="4"/>
      <c r="ACD20" s="4"/>
      <c r="ACE20" s="4"/>
      <c r="ACF20" s="4"/>
      <c r="ACG20" s="4"/>
      <c r="ACH20" s="4"/>
      <c r="ACI20" s="4"/>
      <c r="ACJ20" s="4"/>
      <c r="ACK20" s="4"/>
      <c r="ACL20" s="4"/>
      <c r="ACM20" s="4"/>
      <c r="ACN20" s="6"/>
      <c r="ACO20" s="6"/>
    </row>
    <row r="21" spans="1:769" x14ac:dyDescent="0.25">
      <c r="A21" s="25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6"/>
      <c r="BU21" s="6"/>
      <c r="BV21" s="6"/>
      <c r="BW21" s="6"/>
      <c r="BX21" s="6"/>
      <c r="BY21" s="6"/>
      <c r="BZ21" s="6"/>
      <c r="CA21" s="6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6"/>
      <c r="CS21" s="6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6"/>
      <c r="IG21" s="6"/>
      <c r="IH21" s="6"/>
      <c r="II21" s="6"/>
      <c r="IJ21" s="6"/>
      <c r="IK21" s="6"/>
      <c r="IL21" s="6"/>
      <c r="IM21" s="6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6"/>
      <c r="JE21" s="6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6"/>
      <c r="OS21" s="6"/>
      <c r="OT21" s="6"/>
      <c r="OU21" s="6"/>
      <c r="OV21" s="6"/>
      <c r="OW21" s="6"/>
      <c r="OX21" s="6"/>
      <c r="OY21" s="6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6"/>
      <c r="PQ21" s="6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  <c r="UG21" s="4"/>
      <c r="UH21" s="4"/>
      <c r="UI21" s="4"/>
      <c r="UJ21" s="4"/>
      <c r="UK21" s="4"/>
      <c r="UL21" s="4"/>
      <c r="UM21" s="4"/>
      <c r="UN21" s="4"/>
      <c r="UO21" s="4"/>
      <c r="UP21" s="4"/>
      <c r="UQ21" s="4"/>
      <c r="UR21" s="4"/>
      <c r="US21" s="4"/>
      <c r="UT21" s="4"/>
      <c r="UU21" s="4"/>
      <c r="UV21" s="4"/>
      <c r="UW21" s="4"/>
      <c r="UX21" s="4"/>
      <c r="UY21" s="4"/>
      <c r="UZ21" s="4"/>
      <c r="VA21" s="4"/>
      <c r="VB21" s="4"/>
      <c r="VC21" s="4"/>
      <c r="VD21" s="6"/>
      <c r="VE21" s="6"/>
      <c r="VF21" s="6"/>
      <c r="VG21" s="6"/>
      <c r="VH21" s="6"/>
      <c r="VI21" s="6"/>
      <c r="VJ21" s="6"/>
      <c r="VK21" s="6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6"/>
      <c r="WC21" s="6"/>
      <c r="WD21" s="4"/>
      <c r="WE21" s="4"/>
      <c r="WF21" s="4"/>
      <c r="WG21" s="4"/>
      <c r="WH21" s="4"/>
      <c r="WI21" s="4"/>
      <c r="WJ21" s="4"/>
      <c r="WK21" s="4"/>
      <c r="WL21" s="4"/>
      <c r="WM21" s="4"/>
      <c r="WN21" s="4"/>
      <c r="WO21" s="4"/>
      <c r="WP21" s="4"/>
      <c r="WQ21" s="4"/>
      <c r="WR21" s="4"/>
      <c r="WS21" s="4"/>
      <c r="WT21" s="4"/>
      <c r="WU21" s="4"/>
      <c r="WV21" s="4"/>
      <c r="WW21" s="4"/>
      <c r="WX21" s="4"/>
      <c r="WY21" s="4"/>
      <c r="WZ21" s="4"/>
      <c r="XA21" s="4"/>
      <c r="XB21" s="4"/>
      <c r="XC21" s="4"/>
      <c r="XD21" s="4"/>
      <c r="XE21" s="4"/>
      <c r="XF21" s="4"/>
      <c r="XG21" s="4"/>
      <c r="XH21" s="4"/>
      <c r="XI21" s="4"/>
      <c r="XJ21" s="4"/>
      <c r="XK21" s="4"/>
      <c r="XL21" s="4"/>
      <c r="XM21" s="4"/>
      <c r="XN21" s="4"/>
      <c r="XO21" s="4"/>
      <c r="XP21" s="4"/>
      <c r="XQ21" s="4"/>
      <c r="XR21" s="4"/>
      <c r="XS21" s="4"/>
      <c r="XT21" s="4"/>
      <c r="XU21" s="4"/>
      <c r="XV21" s="4"/>
      <c r="XW21" s="4"/>
      <c r="XX21" s="4"/>
      <c r="XY21" s="4"/>
      <c r="XZ21" s="4"/>
      <c r="YA21" s="4"/>
      <c r="YB21" s="4"/>
      <c r="YC21" s="4"/>
      <c r="YD21" s="4"/>
      <c r="YE21" s="4"/>
      <c r="YF21" s="4"/>
      <c r="YG21" s="4"/>
      <c r="YH21" s="4"/>
      <c r="YI21" s="4"/>
      <c r="YJ21" s="4"/>
      <c r="YK21" s="4"/>
      <c r="YL21" s="4"/>
      <c r="YM21" s="4"/>
      <c r="YN21" s="4"/>
      <c r="YO21" s="4"/>
      <c r="YP21" s="4"/>
      <c r="YQ21" s="4"/>
      <c r="YR21" s="4"/>
      <c r="YS21" s="4"/>
      <c r="YT21" s="4"/>
      <c r="YU21" s="4"/>
      <c r="YV21" s="4"/>
      <c r="YW21" s="4"/>
      <c r="YX21" s="4"/>
      <c r="YY21" s="4"/>
      <c r="YZ21" s="4"/>
      <c r="ZA21" s="4"/>
      <c r="ZB21" s="4"/>
      <c r="ZC21" s="4"/>
      <c r="ZD21" s="4"/>
      <c r="ZE21" s="4"/>
      <c r="ZF21" s="4"/>
      <c r="ZG21" s="4"/>
      <c r="ZH21" s="4"/>
      <c r="ZI21" s="4"/>
      <c r="ZJ21" s="4"/>
      <c r="ZK21" s="4"/>
      <c r="ZL21" s="4"/>
      <c r="ZM21" s="4"/>
      <c r="ZN21" s="4"/>
      <c r="ZO21" s="4"/>
      <c r="ZP21" s="4"/>
      <c r="ZQ21" s="4"/>
      <c r="ZR21" s="4"/>
      <c r="ZS21" s="4"/>
      <c r="ZT21" s="4"/>
      <c r="ZU21" s="4"/>
      <c r="ZV21" s="4"/>
      <c r="ZW21" s="4"/>
      <c r="ZX21" s="4"/>
      <c r="ZY21" s="4"/>
      <c r="ZZ21" s="4"/>
      <c r="AAA21" s="4"/>
      <c r="AAB21" s="4"/>
      <c r="AAC21" s="4"/>
      <c r="AAD21" s="4"/>
      <c r="AAE21" s="4"/>
      <c r="AAF21" s="4"/>
      <c r="AAG21" s="4"/>
      <c r="AAH21" s="4"/>
      <c r="AAI21" s="4"/>
      <c r="AAJ21" s="4"/>
      <c r="AAK21" s="4"/>
      <c r="AAL21" s="4"/>
      <c r="AAM21" s="4"/>
      <c r="AAN21" s="4"/>
      <c r="AAO21" s="4"/>
      <c r="AAP21" s="4"/>
      <c r="AAQ21" s="4"/>
      <c r="AAR21" s="4"/>
      <c r="AAS21" s="4"/>
      <c r="AAT21" s="4"/>
      <c r="AAU21" s="4"/>
      <c r="AAV21" s="4"/>
      <c r="AAW21" s="4"/>
      <c r="AAX21" s="4"/>
      <c r="AAY21" s="4"/>
      <c r="AAZ21" s="4"/>
      <c r="ABA21" s="4"/>
      <c r="ABB21" s="4"/>
      <c r="ABC21" s="4"/>
      <c r="ABD21" s="4"/>
      <c r="ABE21" s="4"/>
      <c r="ABF21" s="4"/>
      <c r="ABG21" s="4"/>
      <c r="ABH21" s="4"/>
      <c r="ABI21" s="4"/>
      <c r="ABJ21" s="4"/>
      <c r="ABK21" s="4"/>
      <c r="ABL21" s="4"/>
      <c r="ABM21" s="4"/>
      <c r="ABN21" s="4"/>
      <c r="ABO21" s="4"/>
      <c r="ABP21" s="6"/>
      <c r="ABQ21" s="6"/>
      <c r="ABR21" s="6"/>
      <c r="ABS21" s="6"/>
      <c r="ABT21" s="6"/>
      <c r="ABU21" s="6"/>
      <c r="ABV21" s="6"/>
      <c r="ABW21" s="6"/>
      <c r="ABX21" s="4"/>
      <c r="ABY21" s="4"/>
      <c r="ABZ21" s="4"/>
      <c r="ACA21" s="4"/>
      <c r="ACB21" s="4"/>
      <c r="ACC21" s="4"/>
      <c r="ACD21" s="4"/>
      <c r="ACE21" s="4"/>
      <c r="ACF21" s="4"/>
      <c r="ACG21" s="4"/>
      <c r="ACH21" s="4"/>
      <c r="ACI21" s="4"/>
      <c r="ACJ21" s="4"/>
      <c r="ACK21" s="4"/>
      <c r="ACL21" s="4"/>
      <c r="ACM21" s="4"/>
      <c r="ACN21" s="6"/>
      <c r="ACO21" s="6"/>
    </row>
    <row r="22" spans="1:769" x14ac:dyDescent="0.25">
      <c r="A22" s="25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6"/>
      <c r="BU22" s="6"/>
      <c r="BV22" s="6"/>
      <c r="BW22" s="6"/>
      <c r="BX22" s="6"/>
      <c r="BY22" s="6"/>
      <c r="BZ22" s="6"/>
      <c r="CA22" s="6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6"/>
      <c r="CS22" s="6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6"/>
      <c r="IG22" s="6"/>
      <c r="IH22" s="6"/>
      <c r="II22" s="6"/>
      <c r="IJ22" s="6"/>
      <c r="IK22" s="6"/>
      <c r="IL22" s="6"/>
      <c r="IM22" s="6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6"/>
      <c r="JE22" s="6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6"/>
      <c r="OS22" s="6"/>
      <c r="OT22" s="6"/>
      <c r="OU22" s="6"/>
      <c r="OV22" s="6"/>
      <c r="OW22" s="6"/>
      <c r="OX22" s="6"/>
      <c r="OY22" s="6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6"/>
      <c r="PQ22" s="6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  <c r="UG22" s="4"/>
      <c r="UH22" s="4"/>
      <c r="UI22" s="4"/>
      <c r="UJ22" s="4"/>
      <c r="UK22" s="4"/>
      <c r="UL22" s="4"/>
      <c r="UM22" s="4"/>
      <c r="UN22" s="4"/>
      <c r="UO22" s="4"/>
      <c r="UP22" s="4"/>
      <c r="UQ22" s="4"/>
      <c r="UR22" s="4"/>
      <c r="US22" s="4"/>
      <c r="UT22" s="4"/>
      <c r="UU22" s="4"/>
      <c r="UV22" s="4"/>
      <c r="UW22" s="4"/>
      <c r="UX22" s="4"/>
      <c r="UY22" s="4"/>
      <c r="UZ22" s="4"/>
      <c r="VA22" s="4"/>
      <c r="VB22" s="4"/>
      <c r="VC22" s="4"/>
      <c r="VD22" s="6"/>
      <c r="VE22" s="6"/>
      <c r="VF22" s="6"/>
      <c r="VG22" s="6"/>
      <c r="VH22" s="6"/>
      <c r="VI22" s="6"/>
      <c r="VJ22" s="6"/>
      <c r="VK22" s="6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6"/>
      <c r="WC22" s="6"/>
      <c r="WD22" s="4"/>
      <c r="WE22" s="4"/>
      <c r="WF22" s="4"/>
      <c r="WG22" s="4"/>
      <c r="WH22" s="4"/>
      <c r="WI22" s="4"/>
      <c r="WJ22" s="4"/>
      <c r="WK22" s="4"/>
      <c r="WL22" s="4"/>
      <c r="WM22" s="4"/>
      <c r="WN22" s="4"/>
      <c r="WO22" s="4"/>
      <c r="WP22" s="4"/>
      <c r="WQ22" s="4"/>
      <c r="WR22" s="4"/>
      <c r="WS22" s="4"/>
      <c r="WT22" s="4"/>
      <c r="WU22" s="4"/>
      <c r="WV22" s="4"/>
      <c r="WW22" s="4"/>
      <c r="WX22" s="4"/>
      <c r="WY22" s="4"/>
      <c r="WZ22" s="4"/>
      <c r="XA22" s="4"/>
      <c r="XB22" s="4"/>
      <c r="XC22" s="4"/>
      <c r="XD22" s="4"/>
      <c r="XE22" s="4"/>
      <c r="XF22" s="4"/>
      <c r="XG22" s="4"/>
      <c r="XH22" s="4"/>
      <c r="XI22" s="4"/>
      <c r="XJ22" s="4"/>
      <c r="XK22" s="4"/>
      <c r="XL22" s="4"/>
      <c r="XM22" s="4"/>
      <c r="XN22" s="4"/>
      <c r="XO22" s="4"/>
      <c r="XP22" s="4"/>
      <c r="XQ22" s="4"/>
      <c r="XR22" s="4"/>
      <c r="XS22" s="4"/>
      <c r="XT22" s="4"/>
      <c r="XU22" s="4"/>
      <c r="XV22" s="4"/>
      <c r="XW22" s="4"/>
      <c r="XX22" s="4"/>
      <c r="XY22" s="4"/>
      <c r="XZ22" s="4"/>
      <c r="YA22" s="4"/>
      <c r="YB22" s="4"/>
      <c r="YC22" s="4"/>
      <c r="YD22" s="4"/>
      <c r="YE22" s="4"/>
      <c r="YF22" s="4"/>
      <c r="YG22" s="4"/>
      <c r="YH22" s="4"/>
      <c r="YI22" s="4"/>
      <c r="YJ22" s="4"/>
      <c r="YK22" s="4"/>
      <c r="YL22" s="4"/>
      <c r="YM22" s="4"/>
      <c r="YN22" s="4"/>
      <c r="YO22" s="4"/>
      <c r="YP22" s="4"/>
      <c r="YQ22" s="4"/>
      <c r="YR22" s="4"/>
      <c r="YS22" s="4"/>
      <c r="YT22" s="4"/>
      <c r="YU22" s="4"/>
      <c r="YV22" s="4"/>
      <c r="YW22" s="4"/>
      <c r="YX22" s="4"/>
      <c r="YY22" s="4"/>
      <c r="YZ22" s="4"/>
      <c r="ZA22" s="4"/>
      <c r="ZB22" s="4"/>
      <c r="ZC22" s="4"/>
      <c r="ZD22" s="4"/>
      <c r="ZE22" s="4"/>
      <c r="ZF22" s="4"/>
      <c r="ZG22" s="4"/>
      <c r="ZH22" s="4"/>
      <c r="ZI22" s="4"/>
      <c r="ZJ22" s="4"/>
      <c r="ZK22" s="4"/>
      <c r="ZL22" s="4"/>
      <c r="ZM22" s="4"/>
      <c r="ZN22" s="4"/>
      <c r="ZO22" s="4"/>
      <c r="ZP22" s="4"/>
      <c r="ZQ22" s="4"/>
      <c r="ZR22" s="4"/>
      <c r="ZS22" s="4"/>
      <c r="ZT22" s="4"/>
      <c r="ZU22" s="4"/>
      <c r="ZV22" s="4"/>
      <c r="ZW22" s="4"/>
      <c r="ZX22" s="4"/>
      <c r="ZY22" s="4"/>
      <c r="ZZ22" s="4"/>
      <c r="AAA22" s="4"/>
      <c r="AAB22" s="4"/>
      <c r="AAC22" s="4"/>
      <c r="AAD22" s="4"/>
      <c r="AAE22" s="4"/>
      <c r="AAF22" s="4"/>
      <c r="AAG22" s="4"/>
      <c r="AAH22" s="4"/>
      <c r="AAI22" s="4"/>
      <c r="AAJ22" s="4"/>
      <c r="AAK22" s="4"/>
      <c r="AAL22" s="4"/>
      <c r="AAM22" s="4"/>
      <c r="AAN22" s="4"/>
      <c r="AAO22" s="4"/>
      <c r="AAP22" s="4"/>
      <c r="AAQ22" s="4"/>
      <c r="AAR22" s="4"/>
      <c r="AAS22" s="4"/>
      <c r="AAT22" s="4"/>
      <c r="AAU22" s="4"/>
      <c r="AAV22" s="4"/>
      <c r="AAW22" s="4"/>
      <c r="AAX22" s="4"/>
      <c r="AAY22" s="4"/>
      <c r="AAZ22" s="4"/>
      <c r="ABA22" s="4"/>
      <c r="ABB22" s="4"/>
      <c r="ABC22" s="4"/>
      <c r="ABD22" s="4"/>
      <c r="ABE22" s="4"/>
      <c r="ABF22" s="4"/>
      <c r="ABG22" s="4"/>
      <c r="ABH22" s="4"/>
      <c r="ABI22" s="4"/>
      <c r="ABJ22" s="4"/>
      <c r="ABK22" s="4"/>
      <c r="ABL22" s="4"/>
      <c r="ABM22" s="4"/>
      <c r="ABN22" s="4"/>
      <c r="ABO22" s="4"/>
      <c r="ABP22" s="6"/>
      <c r="ABQ22" s="6"/>
      <c r="ABR22" s="6"/>
      <c r="ABS22" s="6"/>
      <c r="ABT22" s="6"/>
      <c r="ABU22" s="6"/>
      <c r="ABV22" s="6"/>
      <c r="ABW22" s="6"/>
      <c r="ABX22" s="4"/>
      <c r="ABY22" s="4"/>
      <c r="ABZ22" s="4"/>
      <c r="ACA22" s="4"/>
      <c r="ACB22" s="4"/>
      <c r="ACC22" s="4"/>
      <c r="ACD22" s="4"/>
      <c r="ACE22" s="4"/>
      <c r="ACF22" s="4"/>
      <c r="ACG22" s="4"/>
      <c r="ACH22" s="4"/>
      <c r="ACI22" s="4"/>
      <c r="ACJ22" s="4"/>
      <c r="ACK22" s="4"/>
      <c r="ACL22" s="4"/>
      <c r="ACM22" s="4"/>
      <c r="ACN22" s="6"/>
      <c r="ACO22" s="6"/>
    </row>
    <row r="23" spans="1:769" x14ac:dyDescent="0.25">
      <c r="A23" s="25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6"/>
      <c r="BU23" s="6"/>
      <c r="BV23" s="6"/>
      <c r="BW23" s="6"/>
      <c r="BX23" s="6"/>
      <c r="BY23" s="6"/>
      <c r="BZ23" s="6"/>
      <c r="CA23" s="6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6"/>
      <c r="CS23" s="6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6"/>
      <c r="IG23" s="6"/>
      <c r="IH23" s="6"/>
      <c r="II23" s="6"/>
      <c r="IJ23" s="6"/>
      <c r="IK23" s="6"/>
      <c r="IL23" s="6"/>
      <c r="IM23" s="6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6"/>
      <c r="JE23" s="6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6"/>
      <c r="OS23" s="6"/>
      <c r="OT23" s="6"/>
      <c r="OU23" s="6"/>
      <c r="OV23" s="6"/>
      <c r="OW23" s="6"/>
      <c r="OX23" s="6"/>
      <c r="OY23" s="6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6"/>
      <c r="PQ23" s="6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  <c r="UG23" s="4"/>
      <c r="UH23" s="4"/>
      <c r="UI23" s="4"/>
      <c r="UJ23" s="4"/>
      <c r="UK23" s="4"/>
      <c r="UL23" s="4"/>
      <c r="UM23" s="4"/>
      <c r="UN23" s="4"/>
      <c r="UO23" s="4"/>
      <c r="UP23" s="4"/>
      <c r="UQ23" s="4"/>
      <c r="UR23" s="4"/>
      <c r="US23" s="4"/>
      <c r="UT23" s="4"/>
      <c r="UU23" s="4"/>
      <c r="UV23" s="4"/>
      <c r="UW23" s="4"/>
      <c r="UX23" s="4"/>
      <c r="UY23" s="4"/>
      <c r="UZ23" s="4"/>
      <c r="VA23" s="4"/>
      <c r="VB23" s="4"/>
      <c r="VC23" s="4"/>
      <c r="VD23" s="6"/>
      <c r="VE23" s="6"/>
      <c r="VF23" s="6"/>
      <c r="VG23" s="6"/>
      <c r="VH23" s="6"/>
      <c r="VI23" s="6"/>
      <c r="VJ23" s="6"/>
      <c r="VK23" s="6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6"/>
      <c r="WC23" s="6"/>
      <c r="WD23" s="4"/>
      <c r="WE23" s="4"/>
      <c r="WF23" s="4"/>
      <c r="WG23" s="4"/>
      <c r="WH23" s="4"/>
      <c r="WI23" s="4"/>
      <c r="WJ23" s="4"/>
      <c r="WK23" s="4"/>
      <c r="WL23" s="4"/>
      <c r="WM23" s="4"/>
      <c r="WN23" s="4"/>
      <c r="WO23" s="4"/>
      <c r="WP23" s="4"/>
      <c r="WQ23" s="4"/>
      <c r="WR23" s="4"/>
      <c r="WS23" s="4"/>
      <c r="WT23" s="4"/>
      <c r="WU23" s="4"/>
      <c r="WV23" s="4"/>
      <c r="WW23" s="4"/>
      <c r="WX23" s="4"/>
      <c r="WY23" s="4"/>
      <c r="WZ23" s="4"/>
      <c r="XA23" s="4"/>
      <c r="XB23" s="4"/>
      <c r="XC23" s="4"/>
      <c r="XD23" s="4"/>
      <c r="XE23" s="4"/>
      <c r="XF23" s="4"/>
      <c r="XG23" s="4"/>
      <c r="XH23" s="4"/>
      <c r="XI23" s="4"/>
      <c r="XJ23" s="4"/>
      <c r="XK23" s="4"/>
      <c r="XL23" s="4"/>
      <c r="XM23" s="4"/>
      <c r="XN23" s="4"/>
      <c r="XO23" s="4"/>
      <c r="XP23" s="4"/>
      <c r="XQ23" s="4"/>
      <c r="XR23" s="4"/>
      <c r="XS23" s="4"/>
      <c r="XT23" s="4"/>
      <c r="XU23" s="4"/>
      <c r="XV23" s="4"/>
      <c r="XW23" s="4"/>
      <c r="XX23" s="4"/>
      <c r="XY23" s="4"/>
      <c r="XZ23" s="4"/>
      <c r="YA23" s="4"/>
      <c r="YB23" s="4"/>
      <c r="YC23" s="4"/>
      <c r="YD23" s="4"/>
      <c r="YE23" s="4"/>
      <c r="YF23" s="4"/>
      <c r="YG23" s="4"/>
      <c r="YH23" s="4"/>
      <c r="YI23" s="4"/>
      <c r="YJ23" s="4"/>
      <c r="YK23" s="4"/>
      <c r="YL23" s="4"/>
      <c r="YM23" s="4"/>
      <c r="YN23" s="4"/>
      <c r="YO23" s="4"/>
      <c r="YP23" s="4"/>
      <c r="YQ23" s="4"/>
      <c r="YR23" s="4"/>
      <c r="YS23" s="4"/>
      <c r="YT23" s="4"/>
      <c r="YU23" s="4"/>
      <c r="YV23" s="4"/>
      <c r="YW23" s="4"/>
      <c r="YX23" s="4"/>
      <c r="YY23" s="4"/>
      <c r="YZ23" s="4"/>
      <c r="ZA23" s="4"/>
      <c r="ZB23" s="4"/>
      <c r="ZC23" s="4"/>
      <c r="ZD23" s="4"/>
      <c r="ZE23" s="4"/>
      <c r="ZF23" s="4"/>
      <c r="ZG23" s="4"/>
      <c r="ZH23" s="4"/>
      <c r="ZI23" s="4"/>
      <c r="ZJ23" s="4"/>
      <c r="ZK23" s="4"/>
      <c r="ZL23" s="4"/>
      <c r="ZM23" s="4"/>
      <c r="ZN23" s="4"/>
      <c r="ZO23" s="4"/>
      <c r="ZP23" s="4"/>
      <c r="ZQ23" s="4"/>
      <c r="ZR23" s="4"/>
      <c r="ZS23" s="4"/>
      <c r="ZT23" s="4"/>
      <c r="ZU23" s="4"/>
      <c r="ZV23" s="4"/>
      <c r="ZW23" s="4"/>
      <c r="ZX23" s="4"/>
      <c r="ZY23" s="4"/>
      <c r="ZZ23" s="4"/>
      <c r="AAA23" s="4"/>
      <c r="AAB23" s="4"/>
      <c r="AAC23" s="4"/>
      <c r="AAD23" s="4"/>
      <c r="AAE23" s="4"/>
      <c r="AAF23" s="4"/>
      <c r="AAG23" s="4"/>
      <c r="AAH23" s="4"/>
      <c r="AAI23" s="4"/>
      <c r="AAJ23" s="4"/>
      <c r="AAK23" s="4"/>
      <c r="AAL23" s="4"/>
      <c r="AAM23" s="4"/>
      <c r="AAN23" s="4"/>
      <c r="AAO23" s="4"/>
      <c r="AAP23" s="4"/>
      <c r="AAQ23" s="4"/>
      <c r="AAR23" s="4"/>
      <c r="AAS23" s="4"/>
      <c r="AAT23" s="4"/>
      <c r="AAU23" s="4"/>
      <c r="AAV23" s="4"/>
      <c r="AAW23" s="4"/>
      <c r="AAX23" s="4"/>
      <c r="AAY23" s="4"/>
      <c r="AAZ23" s="4"/>
      <c r="ABA23" s="4"/>
      <c r="ABB23" s="4"/>
      <c r="ABC23" s="4"/>
      <c r="ABD23" s="4"/>
      <c r="ABE23" s="4"/>
      <c r="ABF23" s="4"/>
      <c r="ABG23" s="4"/>
      <c r="ABH23" s="4"/>
      <c r="ABI23" s="4"/>
      <c r="ABJ23" s="4"/>
      <c r="ABK23" s="4"/>
      <c r="ABL23" s="4"/>
      <c r="ABM23" s="4"/>
      <c r="ABN23" s="4"/>
      <c r="ABO23" s="4"/>
      <c r="ABP23" s="6"/>
      <c r="ABQ23" s="6"/>
      <c r="ABR23" s="6"/>
      <c r="ABS23" s="6"/>
      <c r="ABT23" s="6"/>
      <c r="ABU23" s="6"/>
      <c r="ABV23" s="6"/>
      <c r="ABW23" s="6"/>
      <c r="ABX23" s="4"/>
      <c r="ABY23" s="4"/>
      <c r="ABZ23" s="4"/>
      <c r="ACA23" s="4"/>
      <c r="ACB23" s="4"/>
      <c r="ACC23" s="4"/>
      <c r="ACD23" s="4"/>
      <c r="ACE23" s="4"/>
      <c r="ACF23" s="4"/>
      <c r="ACG23" s="4"/>
      <c r="ACH23" s="4"/>
      <c r="ACI23" s="4"/>
      <c r="ACJ23" s="4"/>
      <c r="ACK23" s="4"/>
      <c r="ACL23" s="4"/>
      <c r="ACM23" s="4"/>
      <c r="ACN23" s="6"/>
      <c r="ACO23" s="6"/>
    </row>
    <row r="24" spans="1:769" x14ac:dyDescent="0.25">
      <c r="A24" s="35" t="s">
        <v>40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6"/>
      <c r="BU24" s="6"/>
      <c r="BV24" s="6"/>
      <c r="BW24" s="6"/>
      <c r="BX24" s="6"/>
      <c r="BY24" s="6"/>
      <c r="BZ24" s="6"/>
      <c r="CA24" s="6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6"/>
      <c r="CS24" s="6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6"/>
      <c r="IG24" s="6"/>
      <c r="IH24" s="6"/>
      <c r="II24" s="6"/>
      <c r="IJ24" s="6"/>
      <c r="IK24" s="6"/>
      <c r="IL24" s="6"/>
      <c r="IM24" s="6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6"/>
      <c r="JE24" s="6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6"/>
      <c r="OS24" s="6"/>
      <c r="OT24" s="6"/>
      <c r="OU24" s="6"/>
      <c r="OV24" s="6"/>
      <c r="OW24" s="6"/>
      <c r="OX24" s="6"/>
      <c r="OY24" s="6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6"/>
      <c r="PQ24" s="6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  <c r="UG24" s="4"/>
      <c r="UH24" s="4"/>
      <c r="UI24" s="4"/>
      <c r="UJ24" s="4"/>
      <c r="UK24" s="4"/>
      <c r="UL24" s="4"/>
      <c r="UM24" s="4"/>
      <c r="UN24" s="4"/>
      <c r="UO24" s="4"/>
      <c r="UP24" s="4"/>
      <c r="UQ24" s="4"/>
      <c r="UR24" s="4"/>
      <c r="US24" s="4"/>
      <c r="UT24" s="4"/>
      <c r="UU24" s="4"/>
      <c r="UV24" s="4"/>
      <c r="UW24" s="4"/>
      <c r="UX24" s="4"/>
      <c r="UY24" s="4"/>
      <c r="UZ24" s="4"/>
      <c r="VA24" s="4"/>
      <c r="VB24" s="4"/>
      <c r="VC24" s="4"/>
      <c r="VD24" s="6"/>
      <c r="VE24" s="6"/>
      <c r="VF24" s="6"/>
      <c r="VG24" s="6"/>
      <c r="VH24" s="6"/>
      <c r="VI24" s="6"/>
      <c r="VJ24" s="6"/>
      <c r="VK24" s="6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6"/>
      <c r="WC24" s="6"/>
      <c r="WD24" s="4"/>
      <c r="WE24" s="4"/>
      <c r="WF24" s="4"/>
      <c r="WG24" s="4"/>
      <c r="WH24" s="4"/>
      <c r="WI24" s="4"/>
      <c r="WJ24" s="4"/>
      <c r="WK24" s="4"/>
      <c r="WL24" s="4"/>
      <c r="WM24" s="4"/>
      <c r="WN24" s="4"/>
      <c r="WO24" s="4"/>
      <c r="WP24" s="4"/>
      <c r="WQ24" s="4"/>
      <c r="WR24" s="4"/>
      <c r="WS24" s="4"/>
      <c r="WT24" s="4"/>
      <c r="WU24" s="4"/>
      <c r="WV24" s="4"/>
      <c r="WW24" s="4"/>
      <c r="WX24" s="4"/>
      <c r="WY24" s="4"/>
      <c r="WZ24" s="4"/>
      <c r="XA24" s="4"/>
      <c r="XB24" s="4"/>
      <c r="XC24" s="4"/>
      <c r="XD24" s="4"/>
      <c r="XE24" s="4"/>
      <c r="XF24" s="4"/>
      <c r="XG24" s="4"/>
      <c r="XH24" s="4"/>
      <c r="XI24" s="4"/>
      <c r="XJ24" s="4"/>
      <c r="XK24" s="4"/>
      <c r="XL24" s="4"/>
      <c r="XM24" s="4"/>
      <c r="XN24" s="4"/>
      <c r="XO24" s="4"/>
      <c r="XP24" s="4"/>
      <c r="XQ24" s="4"/>
      <c r="XR24" s="4"/>
      <c r="XS24" s="4"/>
      <c r="XT24" s="4"/>
      <c r="XU24" s="4"/>
      <c r="XV24" s="4"/>
      <c r="XW24" s="4"/>
      <c r="XX24" s="4"/>
      <c r="XY24" s="4"/>
      <c r="XZ24" s="4"/>
      <c r="YA24" s="4"/>
      <c r="YB24" s="4"/>
      <c r="YC24" s="4"/>
      <c r="YD24" s="4"/>
      <c r="YE24" s="4"/>
      <c r="YF24" s="4"/>
      <c r="YG24" s="4"/>
      <c r="YH24" s="4"/>
      <c r="YI24" s="4"/>
      <c r="YJ24" s="4"/>
      <c r="YK24" s="4"/>
      <c r="YL24" s="4"/>
      <c r="YM24" s="4"/>
      <c r="YN24" s="4"/>
      <c r="YO24" s="4"/>
      <c r="YP24" s="4"/>
      <c r="YQ24" s="4"/>
      <c r="YR24" s="4"/>
      <c r="YS24" s="4"/>
      <c r="YT24" s="4"/>
      <c r="YU24" s="4"/>
      <c r="YV24" s="4"/>
      <c r="YW24" s="4"/>
      <c r="YX24" s="4"/>
      <c r="YY24" s="4"/>
      <c r="YZ24" s="4"/>
      <c r="ZA24" s="4"/>
      <c r="ZB24" s="4"/>
      <c r="ZC24" s="4"/>
      <c r="ZD24" s="4"/>
      <c r="ZE24" s="4"/>
      <c r="ZF24" s="4"/>
      <c r="ZG24" s="4"/>
      <c r="ZH24" s="4"/>
      <c r="ZI24" s="4"/>
      <c r="ZJ24" s="4"/>
      <c r="ZK24" s="4"/>
      <c r="ZL24" s="4"/>
      <c r="ZM24" s="4"/>
      <c r="ZN24" s="4"/>
      <c r="ZO24" s="4"/>
      <c r="ZP24" s="4"/>
      <c r="ZQ24" s="4"/>
      <c r="ZR24" s="4"/>
      <c r="ZS24" s="4"/>
      <c r="ZT24" s="4"/>
      <c r="ZU24" s="4"/>
      <c r="ZV24" s="4"/>
      <c r="ZW24" s="4"/>
      <c r="ZX24" s="4"/>
      <c r="ZY24" s="4"/>
      <c r="ZZ24" s="4"/>
      <c r="AAA24" s="4"/>
      <c r="AAB24" s="4"/>
      <c r="AAC24" s="4"/>
      <c r="AAD24" s="4"/>
      <c r="AAE24" s="4"/>
      <c r="AAF24" s="4"/>
      <c r="AAG24" s="4"/>
      <c r="AAH24" s="4"/>
      <c r="AAI24" s="4"/>
      <c r="AAJ24" s="4"/>
      <c r="AAK24" s="4"/>
      <c r="AAL24" s="4"/>
      <c r="AAM24" s="4"/>
      <c r="AAN24" s="4"/>
      <c r="AAO24" s="4"/>
      <c r="AAP24" s="4"/>
      <c r="AAQ24" s="4"/>
      <c r="AAR24" s="4"/>
      <c r="AAS24" s="4"/>
      <c r="AAT24" s="4"/>
      <c r="AAU24" s="4"/>
      <c r="AAV24" s="4"/>
      <c r="AAW24" s="4"/>
      <c r="AAX24" s="4"/>
      <c r="AAY24" s="4"/>
      <c r="AAZ24" s="4"/>
      <c r="ABA24" s="4"/>
      <c r="ABB24" s="4"/>
      <c r="ABC24" s="4"/>
      <c r="ABD24" s="4"/>
      <c r="ABE24" s="4"/>
      <c r="ABF24" s="4"/>
      <c r="ABG24" s="4"/>
      <c r="ABH24" s="4"/>
      <c r="ABI24" s="4"/>
      <c r="ABJ24" s="4"/>
      <c r="ABK24" s="4"/>
      <c r="ABL24" s="4"/>
      <c r="ABM24" s="4"/>
      <c r="ABN24" s="4"/>
      <c r="ABO24" s="4"/>
      <c r="ABP24" s="6"/>
      <c r="ABQ24" s="6"/>
      <c r="ABR24" s="6"/>
      <c r="ABS24" s="6"/>
      <c r="ABT24" s="6"/>
      <c r="ABU24" s="6"/>
      <c r="ABV24" s="6"/>
      <c r="ABW24" s="6"/>
      <c r="ABX24" s="4"/>
      <c r="ABY24" s="4"/>
      <c r="ABZ24" s="4"/>
      <c r="ACA24" s="4"/>
      <c r="ACB24" s="4"/>
      <c r="ACC24" s="4"/>
      <c r="ACD24" s="4"/>
      <c r="ACE24" s="4"/>
      <c r="ACF24" s="4"/>
      <c r="ACG24" s="4"/>
      <c r="ACH24" s="4"/>
      <c r="ACI24" s="4"/>
      <c r="ACJ24" s="4"/>
      <c r="ACK24" s="4"/>
      <c r="ACL24" s="4"/>
      <c r="ACM24" s="4"/>
      <c r="ACN24" s="6"/>
      <c r="ACO24" s="6"/>
    </row>
    <row r="25" spans="1:769" x14ac:dyDescent="0.25">
      <c r="A25" s="25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6"/>
      <c r="BU25" s="6"/>
      <c r="BV25" s="6"/>
      <c r="BW25" s="6"/>
      <c r="BX25" s="6"/>
      <c r="BY25" s="6"/>
      <c r="BZ25" s="6"/>
      <c r="CA25" s="6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6"/>
      <c r="CS25" s="6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6"/>
      <c r="IG25" s="6"/>
      <c r="IH25" s="6"/>
      <c r="II25" s="6"/>
      <c r="IJ25" s="6"/>
      <c r="IK25" s="6"/>
      <c r="IL25" s="6"/>
      <c r="IM25" s="6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6"/>
      <c r="JE25" s="6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6"/>
      <c r="OS25" s="6"/>
      <c r="OT25" s="6"/>
      <c r="OU25" s="6"/>
      <c r="OV25" s="6"/>
      <c r="OW25" s="6"/>
      <c r="OX25" s="6"/>
      <c r="OY25" s="6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6"/>
      <c r="PQ25" s="6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  <c r="UG25" s="4"/>
      <c r="UH25" s="4"/>
      <c r="UI25" s="4"/>
      <c r="UJ25" s="4"/>
      <c r="UK25" s="4"/>
      <c r="UL25" s="4"/>
      <c r="UM25" s="4"/>
      <c r="UN25" s="4"/>
      <c r="UO25" s="4"/>
      <c r="UP25" s="4"/>
      <c r="UQ25" s="4"/>
      <c r="UR25" s="4"/>
      <c r="US25" s="4"/>
      <c r="UT25" s="4"/>
      <c r="UU25" s="4"/>
      <c r="UV25" s="4"/>
      <c r="UW25" s="4"/>
      <c r="UX25" s="4"/>
      <c r="UY25" s="4"/>
      <c r="UZ25" s="4"/>
      <c r="VA25" s="4"/>
      <c r="VB25" s="4"/>
      <c r="VC25" s="4"/>
      <c r="VD25" s="6"/>
      <c r="VE25" s="6"/>
      <c r="VF25" s="6"/>
      <c r="VG25" s="6"/>
      <c r="VH25" s="6"/>
      <c r="VI25" s="6"/>
      <c r="VJ25" s="6"/>
      <c r="VK25" s="6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6"/>
      <c r="WC25" s="6"/>
      <c r="WD25" s="4"/>
      <c r="WE25" s="4"/>
      <c r="WF25" s="4"/>
      <c r="WG25" s="4"/>
      <c r="WH25" s="4"/>
      <c r="WI25" s="4"/>
      <c r="WJ25" s="4"/>
      <c r="WK25" s="4"/>
      <c r="WL25" s="4"/>
      <c r="WM25" s="4"/>
      <c r="WN25" s="4"/>
      <c r="WO25" s="4"/>
      <c r="WP25" s="4"/>
      <c r="WQ25" s="4"/>
      <c r="WR25" s="4"/>
      <c r="WS25" s="4"/>
      <c r="WT25" s="4"/>
      <c r="WU25" s="4"/>
      <c r="WV25" s="4"/>
      <c r="WW25" s="4"/>
      <c r="WX25" s="4"/>
      <c r="WY25" s="4"/>
      <c r="WZ25" s="4"/>
      <c r="XA25" s="4"/>
      <c r="XB25" s="4"/>
      <c r="XC25" s="4"/>
      <c r="XD25" s="4"/>
      <c r="XE25" s="4"/>
      <c r="XF25" s="4"/>
      <c r="XG25" s="4"/>
      <c r="XH25" s="4"/>
      <c r="XI25" s="4"/>
      <c r="XJ25" s="4"/>
      <c r="XK25" s="4"/>
      <c r="XL25" s="4"/>
      <c r="XM25" s="4"/>
      <c r="XN25" s="4"/>
      <c r="XO25" s="4"/>
      <c r="XP25" s="4"/>
      <c r="XQ25" s="4"/>
      <c r="XR25" s="4"/>
      <c r="XS25" s="4"/>
      <c r="XT25" s="4"/>
      <c r="XU25" s="4"/>
      <c r="XV25" s="4"/>
      <c r="XW25" s="4"/>
      <c r="XX25" s="4"/>
      <c r="XY25" s="4"/>
      <c r="XZ25" s="4"/>
      <c r="YA25" s="4"/>
      <c r="YB25" s="4"/>
      <c r="YC25" s="4"/>
      <c r="YD25" s="4"/>
      <c r="YE25" s="4"/>
      <c r="YF25" s="4"/>
      <c r="YG25" s="4"/>
      <c r="YH25" s="4"/>
      <c r="YI25" s="4"/>
      <c r="YJ25" s="4"/>
      <c r="YK25" s="4"/>
      <c r="YL25" s="4"/>
      <c r="YM25" s="4"/>
      <c r="YN25" s="4"/>
      <c r="YO25" s="4"/>
      <c r="YP25" s="4"/>
      <c r="YQ25" s="4"/>
      <c r="YR25" s="4"/>
      <c r="YS25" s="4"/>
      <c r="YT25" s="4"/>
      <c r="YU25" s="4"/>
      <c r="YV25" s="4"/>
      <c r="YW25" s="4"/>
      <c r="YX25" s="4"/>
      <c r="YY25" s="4"/>
      <c r="YZ25" s="4"/>
      <c r="ZA25" s="4"/>
      <c r="ZB25" s="4"/>
      <c r="ZC25" s="4"/>
      <c r="ZD25" s="4"/>
      <c r="ZE25" s="4"/>
      <c r="ZF25" s="4"/>
      <c r="ZG25" s="4"/>
      <c r="ZH25" s="4"/>
      <c r="ZI25" s="4"/>
      <c r="ZJ25" s="4"/>
      <c r="ZK25" s="4"/>
      <c r="ZL25" s="4"/>
      <c r="ZM25" s="4"/>
      <c r="ZN25" s="4"/>
      <c r="ZO25" s="4"/>
      <c r="ZP25" s="4"/>
      <c r="ZQ25" s="4"/>
      <c r="ZR25" s="4"/>
      <c r="ZS25" s="4"/>
      <c r="ZT25" s="4"/>
      <c r="ZU25" s="4"/>
      <c r="ZV25" s="4"/>
      <c r="ZW25" s="4"/>
      <c r="ZX25" s="4"/>
      <c r="ZY25" s="4"/>
      <c r="ZZ25" s="4"/>
      <c r="AAA25" s="4"/>
      <c r="AAB25" s="4"/>
      <c r="AAC25" s="4"/>
      <c r="AAD25" s="4"/>
      <c r="AAE25" s="4"/>
      <c r="AAF25" s="4"/>
      <c r="AAG25" s="4"/>
      <c r="AAH25" s="4"/>
      <c r="AAI25" s="4"/>
      <c r="AAJ25" s="4"/>
      <c r="AAK25" s="4"/>
      <c r="AAL25" s="4"/>
      <c r="AAM25" s="4"/>
      <c r="AAN25" s="4"/>
      <c r="AAO25" s="4"/>
      <c r="AAP25" s="4"/>
      <c r="AAQ25" s="4"/>
      <c r="AAR25" s="4"/>
      <c r="AAS25" s="4"/>
      <c r="AAT25" s="4"/>
      <c r="AAU25" s="4"/>
      <c r="AAV25" s="4"/>
      <c r="AAW25" s="4"/>
      <c r="AAX25" s="4"/>
      <c r="AAY25" s="4"/>
      <c r="AAZ25" s="4"/>
      <c r="ABA25" s="4"/>
      <c r="ABB25" s="4"/>
      <c r="ABC25" s="4"/>
      <c r="ABD25" s="4"/>
      <c r="ABE25" s="4"/>
      <c r="ABF25" s="4"/>
      <c r="ABG25" s="4"/>
      <c r="ABH25" s="4"/>
      <c r="ABI25" s="4"/>
      <c r="ABJ25" s="4"/>
      <c r="ABK25" s="4"/>
      <c r="ABL25" s="4"/>
      <c r="ABM25" s="4"/>
      <c r="ABN25" s="4"/>
      <c r="ABO25" s="4"/>
      <c r="ABP25" s="6"/>
      <c r="ABQ25" s="6"/>
      <c r="ABR25" s="6"/>
      <c r="ABS25" s="6"/>
      <c r="ABT25" s="6"/>
      <c r="ABU25" s="6"/>
      <c r="ABV25" s="6"/>
      <c r="ABW25" s="6"/>
      <c r="ABX25" s="4"/>
      <c r="ABY25" s="4"/>
      <c r="ABZ25" s="4"/>
      <c r="ACA25" s="4"/>
      <c r="ACB25" s="4"/>
      <c r="ACC25" s="4"/>
      <c r="ACD25" s="4"/>
      <c r="ACE25" s="4"/>
      <c r="ACF25" s="4"/>
      <c r="ACG25" s="4"/>
      <c r="ACH25" s="4"/>
      <c r="ACI25" s="4"/>
      <c r="ACJ25" s="4"/>
      <c r="ACK25" s="4"/>
      <c r="ACL25" s="4"/>
      <c r="ACM25" s="4"/>
      <c r="ACN25" s="6"/>
      <c r="ACO25" s="6"/>
    </row>
    <row r="26" spans="1:769" x14ac:dyDescent="0.25">
      <c r="A26" s="25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6"/>
      <c r="BU26" s="6"/>
      <c r="BV26" s="6"/>
      <c r="BW26" s="6"/>
      <c r="BX26" s="6"/>
      <c r="BY26" s="6"/>
      <c r="BZ26" s="6"/>
      <c r="CA26" s="6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6"/>
      <c r="CS26" s="6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6"/>
      <c r="IG26" s="6"/>
      <c r="IH26" s="6"/>
      <c r="II26" s="6"/>
      <c r="IJ26" s="6"/>
      <c r="IK26" s="6"/>
      <c r="IL26" s="6"/>
      <c r="IM26" s="6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6"/>
      <c r="JE26" s="6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6"/>
      <c r="OS26" s="6"/>
      <c r="OT26" s="6"/>
      <c r="OU26" s="6"/>
      <c r="OV26" s="6"/>
      <c r="OW26" s="6"/>
      <c r="OX26" s="6"/>
      <c r="OY26" s="6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6"/>
      <c r="PQ26" s="6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  <c r="UG26" s="4"/>
      <c r="UH26" s="4"/>
      <c r="UI26" s="4"/>
      <c r="UJ26" s="4"/>
      <c r="UK26" s="4"/>
      <c r="UL26" s="4"/>
      <c r="UM26" s="4"/>
      <c r="UN26" s="4"/>
      <c r="UO26" s="4"/>
      <c r="UP26" s="4"/>
      <c r="UQ26" s="4"/>
      <c r="UR26" s="4"/>
      <c r="US26" s="4"/>
      <c r="UT26" s="4"/>
      <c r="UU26" s="4"/>
      <c r="UV26" s="4"/>
      <c r="UW26" s="4"/>
      <c r="UX26" s="4"/>
      <c r="UY26" s="4"/>
      <c r="UZ26" s="4"/>
      <c r="VA26" s="4"/>
      <c r="VB26" s="4"/>
      <c r="VC26" s="4"/>
      <c r="VD26" s="6"/>
      <c r="VE26" s="6"/>
      <c r="VF26" s="6"/>
      <c r="VG26" s="6"/>
      <c r="VH26" s="6"/>
      <c r="VI26" s="6"/>
      <c r="VJ26" s="6"/>
      <c r="VK26" s="6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6"/>
      <c r="WC26" s="6"/>
      <c r="WD26" s="4"/>
      <c r="WE26" s="4"/>
      <c r="WF26" s="4"/>
      <c r="WG26" s="4"/>
      <c r="WH26" s="4"/>
      <c r="WI26" s="4"/>
      <c r="WJ26" s="4"/>
      <c r="WK26" s="4"/>
      <c r="WL26" s="4"/>
      <c r="WM26" s="4"/>
      <c r="WN26" s="4"/>
      <c r="WO26" s="4"/>
      <c r="WP26" s="4"/>
      <c r="WQ26" s="4"/>
      <c r="WR26" s="4"/>
      <c r="WS26" s="4"/>
      <c r="WT26" s="4"/>
      <c r="WU26" s="4"/>
      <c r="WV26" s="4"/>
      <c r="WW26" s="4"/>
      <c r="WX26" s="4"/>
      <c r="WY26" s="4"/>
      <c r="WZ26" s="4"/>
      <c r="XA26" s="4"/>
      <c r="XB26" s="4"/>
      <c r="XC26" s="4"/>
      <c r="XD26" s="4"/>
      <c r="XE26" s="4"/>
      <c r="XF26" s="4"/>
      <c r="XG26" s="4"/>
      <c r="XH26" s="4"/>
      <c r="XI26" s="4"/>
      <c r="XJ26" s="4"/>
      <c r="XK26" s="4"/>
      <c r="XL26" s="4"/>
      <c r="XM26" s="4"/>
      <c r="XN26" s="4"/>
      <c r="XO26" s="4"/>
      <c r="XP26" s="4"/>
      <c r="XQ26" s="4"/>
      <c r="XR26" s="4"/>
      <c r="XS26" s="4"/>
      <c r="XT26" s="4"/>
      <c r="XU26" s="4"/>
      <c r="XV26" s="4"/>
      <c r="XW26" s="4"/>
      <c r="XX26" s="4"/>
      <c r="XY26" s="4"/>
      <c r="XZ26" s="4"/>
      <c r="YA26" s="4"/>
      <c r="YB26" s="4"/>
      <c r="YC26" s="4"/>
      <c r="YD26" s="4"/>
      <c r="YE26" s="4"/>
      <c r="YF26" s="4"/>
      <c r="YG26" s="4"/>
      <c r="YH26" s="4"/>
      <c r="YI26" s="4"/>
      <c r="YJ26" s="4"/>
      <c r="YK26" s="4"/>
      <c r="YL26" s="4"/>
      <c r="YM26" s="4"/>
      <c r="YN26" s="4"/>
      <c r="YO26" s="4"/>
      <c r="YP26" s="4"/>
      <c r="YQ26" s="4"/>
      <c r="YR26" s="4"/>
      <c r="YS26" s="4"/>
      <c r="YT26" s="4"/>
      <c r="YU26" s="4"/>
      <c r="YV26" s="4"/>
      <c r="YW26" s="4"/>
      <c r="YX26" s="4"/>
      <c r="YY26" s="4"/>
      <c r="YZ26" s="4"/>
      <c r="ZA26" s="4"/>
      <c r="ZB26" s="4"/>
      <c r="ZC26" s="4"/>
      <c r="ZD26" s="4"/>
      <c r="ZE26" s="4"/>
      <c r="ZF26" s="4"/>
      <c r="ZG26" s="4"/>
      <c r="ZH26" s="4"/>
      <c r="ZI26" s="4"/>
      <c r="ZJ26" s="4"/>
      <c r="ZK26" s="4"/>
      <c r="ZL26" s="4"/>
      <c r="ZM26" s="4"/>
      <c r="ZN26" s="4"/>
      <c r="ZO26" s="4"/>
      <c r="ZP26" s="4"/>
      <c r="ZQ26" s="4"/>
      <c r="ZR26" s="4"/>
      <c r="ZS26" s="4"/>
      <c r="ZT26" s="4"/>
      <c r="ZU26" s="4"/>
      <c r="ZV26" s="4"/>
      <c r="ZW26" s="4"/>
      <c r="ZX26" s="4"/>
      <c r="ZY26" s="4"/>
      <c r="ZZ26" s="4"/>
      <c r="AAA26" s="4"/>
      <c r="AAB26" s="4"/>
      <c r="AAC26" s="4"/>
      <c r="AAD26" s="4"/>
      <c r="AAE26" s="4"/>
      <c r="AAF26" s="4"/>
      <c r="AAG26" s="4"/>
      <c r="AAH26" s="4"/>
      <c r="AAI26" s="4"/>
      <c r="AAJ26" s="4"/>
      <c r="AAK26" s="4"/>
      <c r="AAL26" s="4"/>
      <c r="AAM26" s="4"/>
      <c r="AAN26" s="4"/>
      <c r="AAO26" s="4"/>
      <c r="AAP26" s="4"/>
      <c r="AAQ26" s="4"/>
      <c r="AAR26" s="4"/>
      <c r="AAS26" s="4"/>
      <c r="AAT26" s="4"/>
      <c r="AAU26" s="4"/>
      <c r="AAV26" s="4"/>
      <c r="AAW26" s="4"/>
      <c r="AAX26" s="4"/>
      <c r="AAY26" s="4"/>
      <c r="AAZ26" s="4"/>
      <c r="ABA26" s="4"/>
      <c r="ABB26" s="4"/>
      <c r="ABC26" s="4"/>
      <c r="ABD26" s="4"/>
      <c r="ABE26" s="4"/>
      <c r="ABF26" s="4"/>
      <c r="ABG26" s="4"/>
      <c r="ABH26" s="4"/>
      <c r="ABI26" s="4"/>
      <c r="ABJ26" s="4"/>
      <c r="ABK26" s="4"/>
      <c r="ABL26" s="4"/>
      <c r="ABM26" s="4"/>
      <c r="ABN26" s="4"/>
      <c r="ABO26" s="4"/>
      <c r="ABP26" s="6"/>
      <c r="ABQ26" s="6"/>
      <c r="ABR26" s="6"/>
      <c r="ABS26" s="6"/>
      <c r="ABT26" s="6"/>
      <c r="ABU26" s="6"/>
      <c r="ABV26" s="6"/>
      <c r="ABW26" s="6"/>
      <c r="ABX26" s="4"/>
      <c r="ABY26" s="4"/>
      <c r="ABZ26" s="4"/>
      <c r="ACA26" s="4"/>
      <c r="ACB26" s="4"/>
      <c r="ACC26" s="4"/>
      <c r="ACD26" s="4"/>
      <c r="ACE26" s="4"/>
      <c r="ACF26" s="4"/>
      <c r="ACG26" s="4"/>
      <c r="ACH26" s="4"/>
      <c r="ACI26" s="4"/>
      <c r="ACJ26" s="4"/>
      <c r="ACK26" s="4"/>
      <c r="ACL26" s="4"/>
      <c r="ACM26" s="4"/>
      <c r="ACN26" s="6"/>
      <c r="ACO26" s="6"/>
    </row>
    <row r="27" spans="1:769" x14ac:dyDescent="0.25">
      <c r="A27" s="25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6"/>
      <c r="BU27" s="6"/>
      <c r="BV27" s="6"/>
      <c r="BW27" s="6"/>
      <c r="BX27" s="6"/>
      <c r="BY27" s="6"/>
      <c r="BZ27" s="6"/>
      <c r="CA27" s="6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6"/>
      <c r="CS27" s="6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6"/>
      <c r="IG27" s="6"/>
      <c r="IH27" s="6"/>
      <c r="II27" s="6"/>
      <c r="IJ27" s="6"/>
      <c r="IK27" s="6"/>
      <c r="IL27" s="6"/>
      <c r="IM27" s="6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6"/>
      <c r="JE27" s="6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6"/>
      <c r="OS27" s="6"/>
      <c r="OT27" s="6"/>
      <c r="OU27" s="6"/>
      <c r="OV27" s="6"/>
      <c r="OW27" s="6"/>
      <c r="OX27" s="6"/>
      <c r="OY27" s="6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6"/>
      <c r="PQ27" s="6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  <c r="UG27" s="4"/>
      <c r="UH27" s="4"/>
      <c r="UI27" s="4"/>
      <c r="UJ27" s="4"/>
      <c r="UK27" s="4"/>
      <c r="UL27" s="4"/>
      <c r="UM27" s="4"/>
      <c r="UN27" s="4"/>
      <c r="UO27" s="4"/>
      <c r="UP27" s="4"/>
      <c r="UQ27" s="4"/>
      <c r="UR27" s="4"/>
      <c r="US27" s="4"/>
      <c r="UT27" s="4"/>
      <c r="UU27" s="4"/>
      <c r="UV27" s="4"/>
      <c r="UW27" s="4"/>
      <c r="UX27" s="4"/>
      <c r="UY27" s="4"/>
      <c r="UZ27" s="4"/>
      <c r="VA27" s="4"/>
      <c r="VB27" s="4"/>
      <c r="VC27" s="4"/>
      <c r="VD27" s="6"/>
      <c r="VE27" s="6"/>
      <c r="VF27" s="6"/>
      <c r="VG27" s="6"/>
      <c r="VH27" s="6"/>
      <c r="VI27" s="6"/>
      <c r="VJ27" s="6"/>
      <c r="VK27" s="6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6"/>
      <c r="WC27" s="6"/>
      <c r="WD27" s="4"/>
      <c r="WE27" s="4"/>
      <c r="WF27" s="4"/>
      <c r="WG27" s="4"/>
      <c r="WH27" s="4"/>
      <c r="WI27" s="4"/>
      <c r="WJ27" s="4"/>
      <c r="WK27" s="4"/>
      <c r="WL27" s="4"/>
      <c r="WM27" s="4"/>
      <c r="WN27" s="4"/>
      <c r="WO27" s="4"/>
      <c r="WP27" s="4"/>
      <c r="WQ27" s="4"/>
      <c r="WR27" s="4"/>
      <c r="WS27" s="4"/>
      <c r="WT27" s="4"/>
      <c r="WU27" s="4"/>
      <c r="WV27" s="4"/>
      <c r="WW27" s="4"/>
      <c r="WX27" s="4"/>
      <c r="WY27" s="4"/>
      <c r="WZ27" s="4"/>
      <c r="XA27" s="4"/>
      <c r="XB27" s="4"/>
      <c r="XC27" s="4"/>
      <c r="XD27" s="4"/>
      <c r="XE27" s="4"/>
      <c r="XF27" s="4"/>
      <c r="XG27" s="4"/>
      <c r="XH27" s="4"/>
      <c r="XI27" s="4"/>
      <c r="XJ27" s="4"/>
      <c r="XK27" s="4"/>
      <c r="XL27" s="4"/>
      <c r="XM27" s="4"/>
      <c r="XN27" s="4"/>
      <c r="XO27" s="4"/>
      <c r="XP27" s="4"/>
      <c r="XQ27" s="4"/>
      <c r="XR27" s="4"/>
      <c r="XS27" s="4"/>
      <c r="XT27" s="4"/>
      <c r="XU27" s="4"/>
      <c r="XV27" s="4"/>
      <c r="XW27" s="4"/>
      <c r="XX27" s="4"/>
      <c r="XY27" s="4"/>
      <c r="XZ27" s="4"/>
      <c r="YA27" s="4"/>
      <c r="YB27" s="4"/>
      <c r="YC27" s="4"/>
      <c r="YD27" s="4"/>
      <c r="YE27" s="4"/>
      <c r="YF27" s="4"/>
      <c r="YG27" s="4"/>
      <c r="YH27" s="4"/>
      <c r="YI27" s="4"/>
      <c r="YJ27" s="4"/>
      <c r="YK27" s="4"/>
      <c r="YL27" s="4"/>
      <c r="YM27" s="4"/>
      <c r="YN27" s="4"/>
      <c r="YO27" s="4"/>
      <c r="YP27" s="4"/>
      <c r="YQ27" s="4"/>
      <c r="YR27" s="4"/>
      <c r="YS27" s="4"/>
      <c r="YT27" s="4"/>
      <c r="YU27" s="4"/>
      <c r="YV27" s="4"/>
      <c r="YW27" s="4"/>
      <c r="YX27" s="4"/>
      <c r="YY27" s="4"/>
      <c r="YZ27" s="4"/>
      <c r="ZA27" s="4"/>
      <c r="ZB27" s="4"/>
      <c r="ZC27" s="4"/>
      <c r="ZD27" s="4"/>
      <c r="ZE27" s="4"/>
      <c r="ZF27" s="4"/>
      <c r="ZG27" s="4"/>
      <c r="ZH27" s="4"/>
      <c r="ZI27" s="4"/>
      <c r="ZJ27" s="4"/>
      <c r="ZK27" s="4"/>
      <c r="ZL27" s="4"/>
      <c r="ZM27" s="4"/>
      <c r="ZN27" s="4"/>
      <c r="ZO27" s="4"/>
      <c r="ZP27" s="4"/>
      <c r="ZQ27" s="4"/>
      <c r="ZR27" s="4"/>
      <c r="ZS27" s="4"/>
      <c r="ZT27" s="4"/>
      <c r="ZU27" s="4"/>
      <c r="ZV27" s="4"/>
      <c r="ZW27" s="4"/>
      <c r="ZX27" s="4"/>
      <c r="ZY27" s="4"/>
      <c r="ZZ27" s="4"/>
      <c r="AAA27" s="4"/>
      <c r="AAB27" s="4"/>
      <c r="AAC27" s="4"/>
      <c r="AAD27" s="4"/>
      <c r="AAE27" s="4"/>
      <c r="AAF27" s="4"/>
      <c r="AAG27" s="4"/>
      <c r="AAH27" s="4"/>
      <c r="AAI27" s="4"/>
      <c r="AAJ27" s="4"/>
      <c r="AAK27" s="4"/>
      <c r="AAL27" s="4"/>
      <c r="AAM27" s="4"/>
      <c r="AAN27" s="4"/>
      <c r="AAO27" s="4"/>
      <c r="AAP27" s="4"/>
      <c r="AAQ27" s="4"/>
      <c r="AAR27" s="4"/>
      <c r="AAS27" s="4"/>
      <c r="AAT27" s="4"/>
      <c r="AAU27" s="4"/>
      <c r="AAV27" s="4"/>
      <c r="AAW27" s="4"/>
      <c r="AAX27" s="4"/>
      <c r="AAY27" s="4"/>
      <c r="AAZ27" s="4"/>
      <c r="ABA27" s="4"/>
      <c r="ABB27" s="4"/>
      <c r="ABC27" s="4"/>
      <c r="ABD27" s="4"/>
      <c r="ABE27" s="4"/>
      <c r="ABF27" s="4"/>
      <c r="ABG27" s="4"/>
      <c r="ABH27" s="4"/>
      <c r="ABI27" s="4"/>
      <c r="ABJ27" s="4"/>
      <c r="ABK27" s="4"/>
      <c r="ABL27" s="4"/>
      <c r="ABM27" s="4"/>
      <c r="ABN27" s="4"/>
      <c r="ABO27" s="4"/>
      <c r="ABP27" s="6"/>
      <c r="ABQ27" s="6"/>
      <c r="ABR27" s="6"/>
      <c r="ABS27" s="6"/>
      <c r="ABT27" s="6"/>
      <c r="ABU27" s="6"/>
      <c r="ABV27" s="6"/>
      <c r="ABW27" s="6"/>
      <c r="ABX27" s="4"/>
      <c r="ABY27" s="4"/>
      <c r="ABZ27" s="4"/>
      <c r="ACA27" s="4"/>
      <c r="ACB27" s="4"/>
      <c r="ACC27" s="4"/>
      <c r="ACD27" s="4"/>
      <c r="ACE27" s="4"/>
      <c r="ACF27" s="4"/>
      <c r="ACG27" s="4"/>
      <c r="ACH27" s="4"/>
      <c r="ACI27" s="4"/>
      <c r="ACJ27" s="4"/>
      <c r="ACK27" s="4"/>
      <c r="ACL27" s="4"/>
      <c r="ACM27" s="4"/>
      <c r="ACN27" s="6"/>
      <c r="ACO27" s="6"/>
    </row>
  </sheetData>
  <mergeCells count="38">
    <mergeCell ref="AAT1:ABQ1"/>
    <mergeCell ref="ABR1:ACO1"/>
    <mergeCell ref="WD1:XA1"/>
    <mergeCell ref="XB1:XY1"/>
    <mergeCell ref="XZ1:YW1"/>
    <mergeCell ref="YX1:ZU1"/>
    <mergeCell ref="ZV1:AAS1"/>
    <mergeCell ref="GL1:HI1"/>
    <mergeCell ref="HJ1:IG1"/>
    <mergeCell ref="BV1:CS1"/>
    <mergeCell ref="CT1:DQ1"/>
    <mergeCell ref="DR1:EO1"/>
    <mergeCell ref="EP1:FM1"/>
    <mergeCell ref="FN1:GK1"/>
    <mergeCell ref="A24:A27"/>
    <mergeCell ref="A12:A15"/>
    <mergeCell ref="Z1:AW1"/>
    <mergeCell ref="A20:A23"/>
    <mergeCell ref="AX1:BU1"/>
    <mergeCell ref="B1:Y1"/>
    <mergeCell ref="A16:A19"/>
    <mergeCell ref="A4:A7"/>
    <mergeCell ref="A8:A11"/>
    <mergeCell ref="IH1:JE1"/>
    <mergeCell ref="JF1:KC1"/>
    <mergeCell ref="KD1:LA1"/>
    <mergeCell ref="LB1:LY1"/>
    <mergeCell ref="LZ1:MW1"/>
    <mergeCell ref="MX1:NU1"/>
    <mergeCell ref="NV1:OS1"/>
    <mergeCell ref="OT1:PQ1"/>
    <mergeCell ref="PR1:QO1"/>
    <mergeCell ref="QP1:RM1"/>
    <mergeCell ref="RN1:SK1"/>
    <mergeCell ref="SL1:TI1"/>
    <mergeCell ref="TJ1:UG1"/>
    <mergeCell ref="UH1:VE1"/>
    <mergeCell ref="VF1:WC1"/>
  </mergeCells>
  <dataValidations xWindow="272" yWindow="225" count="1">
    <dataValidation type="date" operator="greaterThanOrEqual" allowBlank="1" showInputMessage="1" showErrorMessage="1" errorTitle="Mês do Planejamento" error="Informe uma data válida (ex.: 01/09/2026)." promptTitle="Mês do Planejamento" prompt="Digite o mês, ex.: 01/09/2026. O motor de cascata só altera operações deste mês." sqref="A1" xr:uid="{B3540926-D463-4511-9108-0900DB68F448}">
      <formula1>DATE(2020,1,1)</formula1>
    </dataValidation>
  </dataValidations>
  <pageMargins left="0.75" right="0.75" top="1" bottom="1" header="0.5" footer="0.5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1" tint="0.499984740745262"/>
  </sheetPr>
  <dimension ref="A1:P18"/>
  <sheetViews>
    <sheetView topLeftCell="F1" workbookViewId="0">
      <selection activeCell="M1" sqref="M1"/>
    </sheetView>
  </sheetViews>
  <sheetFormatPr defaultRowHeight="15" x14ac:dyDescent="0.25"/>
  <cols>
    <col min="1" max="1" width="17.85546875" customWidth="1"/>
    <col min="2" max="2" width="23" customWidth="1"/>
    <col min="3" max="4" width="14.7109375" customWidth="1"/>
    <col min="5" max="7" width="18.7109375" customWidth="1"/>
    <col min="8" max="8" width="15.7109375" customWidth="1"/>
    <col min="9" max="9" width="18.42578125" customWidth="1"/>
    <col min="10" max="10" width="20.42578125" bestFit="1" customWidth="1"/>
    <col min="11" max="11" width="14.5703125" customWidth="1"/>
    <col min="12" max="13" width="10.7109375" customWidth="1"/>
    <col min="14" max="14" width="13.85546875" hidden="1" customWidth="1"/>
    <col min="15" max="15" width="11" customWidth="1"/>
    <col min="16" max="16" width="24.140625" customWidth="1"/>
  </cols>
  <sheetData>
    <row r="1" spans="1:16" ht="27.95" customHeight="1" x14ac:dyDescent="0.25">
      <c r="A1" s="5" t="s">
        <v>45</v>
      </c>
      <c r="B1" s="5" t="s">
        <v>41</v>
      </c>
      <c r="C1" s="5" t="s">
        <v>67</v>
      </c>
      <c r="D1" s="5" t="s">
        <v>42</v>
      </c>
      <c r="E1" s="5" t="s">
        <v>43</v>
      </c>
      <c r="F1" s="5" t="s">
        <v>46</v>
      </c>
      <c r="G1" s="5" t="s">
        <v>47</v>
      </c>
      <c r="H1" s="5" t="s">
        <v>48</v>
      </c>
      <c r="I1" s="5" t="s">
        <v>49</v>
      </c>
      <c r="J1" s="5" t="s">
        <v>50</v>
      </c>
      <c r="K1" s="5" t="s">
        <v>51</v>
      </c>
      <c r="L1" s="5" t="s">
        <v>68</v>
      </c>
      <c r="M1" s="5" t="s">
        <v>74</v>
      </c>
      <c r="N1" s="5" t="s">
        <v>52</v>
      </c>
      <c r="O1" s="5" t="s">
        <v>44</v>
      </c>
      <c r="P1" s="5" t="s">
        <v>53</v>
      </c>
    </row>
    <row r="2" spans="1:16" ht="20.100000000000001" customHeight="1" x14ac:dyDescent="0.25">
      <c r="A2" s="38" t="s">
        <v>69</v>
      </c>
      <c r="B2" s="39" t="s">
        <v>70</v>
      </c>
      <c r="C2" s="38" t="s">
        <v>73</v>
      </c>
      <c r="D2" s="38" t="s">
        <v>71</v>
      </c>
      <c r="E2" s="39" t="s">
        <v>72</v>
      </c>
      <c r="F2" s="41">
        <v>46306.416666666664</v>
      </c>
      <c r="G2" s="41">
        <v>46307.069444444445</v>
      </c>
      <c r="H2" s="39" t="s">
        <v>3</v>
      </c>
      <c r="I2" s="39"/>
      <c r="J2" s="43">
        <v>4000</v>
      </c>
      <c r="K2" s="40">
        <v>0.55555555555555558</v>
      </c>
      <c r="L2" s="40">
        <v>8.3333333333333329E-2</v>
      </c>
      <c r="M2" s="40">
        <v>1.3888888888888888E-2</v>
      </c>
      <c r="N2" s="22">
        <v>20</v>
      </c>
      <c r="O2" s="23">
        <v>1</v>
      </c>
      <c r="P2" s="42">
        <v>150</v>
      </c>
    </row>
    <row r="3" spans="1:16" ht="20.100000000000001" customHeight="1" x14ac:dyDescent="0.25">
      <c r="A3" s="18"/>
      <c r="B3" s="17"/>
      <c r="C3" s="18"/>
      <c r="D3" s="18"/>
      <c r="E3" s="17"/>
      <c r="F3" s="20"/>
      <c r="G3" s="20"/>
      <c r="H3" s="17"/>
      <c r="I3" s="17"/>
      <c r="J3" s="17"/>
      <c r="K3" s="19"/>
      <c r="L3" s="19"/>
      <c r="M3" s="19"/>
      <c r="N3" s="22"/>
    </row>
    <row r="4" spans="1:16" ht="20.100000000000001" customHeight="1" x14ac:dyDescent="0.25">
      <c r="A4" s="18"/>
      <c r="B4" s="17"/>
      <c r="C4" s="18"/>
      <c r="D4" s="18"/>
      <c r="E4" s="17"/>
      <c r="F4" s="20"/>
      <c r="G4" s="20"/>
      <c r="H4" s="17"/>
      <c r="I4" s="17"/>
      <c r="J4" s="17"/>
      <c r="K4" s="19"/>
      <c r="L4" s="19"/>
      <c r="M4" s="19"/>
      <c r="N4" s="22"/>
    </row>
    <row r="5" spans="1:16" x14ac:dyDescent="0.25">
      <c r="A5" s="18"/>
      <c r="B5" s="17"/>
      <c r="C5" s="18"/>
      <c r="D5" s="18"/>
      <c r="E5" s="17"/>
      <c r="F5" s="20"/>
      <c r="G5" s="20"/>
      <c r="H5" s="17"/>
      <c r="I5" s="17"/>
      <c r="J5" s="17"/>
      <c r="K5" s="19"/>
      <c r="L5" s="19"/>
      <c r="M5" s="19"/>
      <c r="N5" s="22"/>
    </row>
    <row r="6" spans="1:16" x14ac:dyDescent="0.25">
      <c r="A6" s="18"/>
      <c r="B6" s="17"/>
      <c r="C6" s="18"/>
      <c r="D6" s="18"/>
      <c r="E6" s="17"/>
      <c r="F6" s="20"/>
      <c r="G6" s="20"/>
      <c r="H6" s="17"/>
      <c r="I6" s="17"/>
      <c r="J6" s="17"/>
      <c r="K6" s="19"/>
      <c r="L6" s="19"/>
      <c r="M6" s="19"/>
      <c r="N6" s="22"/>
    </row>
    <row r="7" spans="1:16" x14ac:dyDescent="0.25">
      <c r="A7" s="18"/>
      <c r="B7" s="17"/>
      <c r="C7" s="18"/>
      <c r="D7" s="18"/>
      <c r="E7" s="17"/>
      <c r="F7" s="20"/>
      <c r="G7" s="20"/>
      <c r="H7" s="17"/>
      <c r="I7" s="17"/>
      <c r="J7" s="17"/>
      <c r="K7" s="19"/>
      <c r="L7" s="19"/>
      <c r="M7" s="19"/>
      <c r="N7" s="22"/>
      <c r="O7" s="23"/>
    </row>
    <row r="8" spans="1:16" x14ac:dyDescent="0.25">
      <c r="A8" s="18"/>
      <c r="B8" s="17"/>
      <c r="C8" s="18"/>
      <c r="D8" s="18"/>
      <c r="E8" s="17"/>
      <c r="F8" s="20"/>
      <c r="G8" s="20"/>
      <c r="H8" s="17"/>
      <c r="I8" s="17"/>
      <c r="J8" s="17"/>
      <c r="K8" s="19"/>
      <c r="L8" s="19"/>
      <c r="M8" s="19"/>
      <c r="N8" s="22"/>
    </row>
    <row r="9" spans="1:16" x14ac:dyDescent="0.25">
      <c r="A9" s="18"/>
      <c r="B9" s="17"/>
      <c r="C9" s="18"/>
      <c r="D9" s="18"/>
      <c r="E9" s="17"/>
      <c r="F9" s="20"/>
      <c r="G9" s="20"/>
      <c r="H9" s="17"/>
      <c r="I9" s="17"/>
      <c r="J9" s="17"/>
      <c r="K9" s="19"/>
      <c r="L9" s="19"/>
      <c r="M9" s="19"/>
      <c r="N9" s="22"/>
    </row>
    <row r="10" spans="1:16" x14ac:dyDescent="0.25">
      <c r="A10" s="18"/>
      <c r="B10" s="17"/>
      <c r="C10" s="18"/>
      <c r="D10" s="18"/>
      <c r="E10" s="17"/>
      <c r="F10" s="20"/>
      <c r="G10" s="20"/>
      <c r="H10" s="17"/>
      <c r="I10" s="17"/>
      <c r="J10" s="17"/>
      <c r="K10" s="21"/>
      <c r="L10" s="21"/>
      <c r="M10" s="21"/>
      <c r="N10" s="22"/>
    </row>
    <row r="11" spans="1:16" x14ac:dyDescent="0.25">
      <c r="A11" s="18"/>
      <c r="B11" s="17"/>
      <c r="C11" s="18"/>
      <c r="D11" s="18"/>
      <c r="E11" s="17"/>
      <c r="F11" s="20"/>
      <c r="G11" s="20"/>
      <c r="H11" s="17"/>
      <c r="I11" s="17"/>
      <c r="J11" s="17"/>
      <c r="K11" s="21"/>
      <c r="L11" s="21"/>
      <c r="M11" s="21"/>
      <c r="N11" s="22"/>
    </row>
    <row r="12" spans="1:16" x14ac:dyDescent="0.25">
      <c r="A12" s="18"/>
      <c r="B12" s="17"/>
      <c r="C12" s="18"/>
      <c r="D12" s="18"/>
      <c r="E12" s="17"/>
      <c r="F12" s="20"/>
      <c r="G12" s="20"/>
      <c r="H12" s="17"/>
      <c r="I12" s="17"/>
      <c r="J12" s="17"/>
      <c r="K12" s="19"/>
      <c r="L12" s="19"/>
      <c r="M12" s="19"/>
      <c r="N12" s="22"/>
    </row>
    <row r="13" spans="1:16" x14ac:dyDescent="0.25">
      <c r="A13" s="18"/>
      <c r="B13" s="17"/>
      <c r="C13" s="18"/>
      <c r="D13" s="18"/>
      <c r="E13" s="17"/>
      <c r="F13" s="20"/>
      <c r="G13" s="20"/>
      <c r="H13" s="17"/>
      <c r="I13" s="17"/>
      <c r="J13" s="17"/>
      <c r="K13" s="19"/>
      <c r="L13" s="19"/>
      <c r="M13" s="19"/>
      <c r="N13" s="22"/>
    </row>
    <row r="14" spans="1:16" x14ac:dyDescent="0.25">
      <c r="A14" s="18"/>
      <c r="B14" s="17"/>
      <c r="C14" s="18"/>
      <c r="D14" s="18"/>
      <c r="E14" s="17"/>
      <c r="F14" s="20"/>
      <c r="G14" s="20"/>
      <c r="H14" s="17"/>
      <c r="I14" s="17"/>
      <c r="J14" s="17"/>
      <c r="K14" s="19"/>
      <c r="L14" s="19"/>
      <c r="M14" s="19"/>
      <c r="N14" s="22"/>
    </row>
    <row r="15" spans="1:16" x14ac:dyDescent="0.25">
      <c r="A15" s="18"/>
      <c r="B15" s="17"/>
      <c r="C15" s="18"/>
      <c r="D15" s="18"/>
      <c r="E15" s="17"/>
      <c r="F15" s="20"/>
      <c r="G15" s="20"/>
      <c r="H15" s="17"/>
      <c r="I15" s="17"/>
      <c r="J15" s="17"/>
      <c r="K15" s="19"/>
      <c r="L15" s="19"/>
      <c r="M15" s="19"/>
      <c r="N15" s="22"/>
    </row>
    <row r="16" spans="1:16" x14ac:dyDescent="0.25">
      <c r="A16" s="18"/>
      <c r="B16" s="17"/>
      <c r="C16" s="18"/>
      <c r="D16" s="18"/>
      <c r="E16" s="17"/>
      <c r="F16" s="20"/>
      <c r="G16" s="20"/>
      <c r="H16" s="17"/>
      <c r="I16" s="17"/>
      <c r="J16" s="17"/>
      <c r="K16" s="19"/>
      <c r="L16" s="19"/>
      <c r="M16" s="19"/>
      <c r="N16" s="22"/>
    </row>
    <row r="17" spans="1:15" x14ac:dyDescent="0.25">
      <c r="A17" s="18"/>
      <c r="B17" s="17"/>
      <c r="C17" s="18"/>
      <c r="D17" s="18"/>
      <c r="E17" s="17"/>
      <c r="F17" s="20"/>
      <c r="G17" s="20"/>
      <c r="H17" s="17"/>
      <c r="I17" s="17"/>
      <c r="J17" s="17"/>
      <c r="K17" s="19"/>
      <c r="L17" s="19"/>
      <c r="M17" s="19"/>
      <c r="N17" s="22"/>
    </row>
    <row r="18" spans="1:15" x14ac:dyDescent="0.25">
      <c r="A18" s="18"/>
      <c r="B18" s="17"/>
      <c r="C18" s="18"/>
      <c r="D18" s="18"/>
      <c r="E18" s="17"/>
      <c r="F18" s="20"/>
      <c r="G18" s="20"/>
      <c r="H18" s="17"/>
      <c r="I18" s="17"/>
      <c r="J18" s="17"/>
      <c r="K18" s="19"/>
      <c r="L18" s="19"/>
      <c r="M18" s="19"/>
      <c r="N18" s="22"/>
      <c r="O18" s="23"/>
    </row>
  </sheetData>
  <phoneticPr fontId="7" type="noConversion"/>
  <pageMargins left="0.75" right="0.75" top="1" bottom="1" header="0.5" footer="0.5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F4A37-5F95-4688-9416-E87D79FA182C}">
  <sheetPr codeName="Planilha9"/>
  <dimension ref="A1:Q204"/>
  <sheetViews>
    <sheetView workbookViewId="0">
      <selection activeCell="D3" sqref="D3"/>
    </sheetView>
  </sheetViews>
  <sheetFormatPr defaultRowHeight="15" x14ac:dyDescent="0.25"/>
  <cols>
    <col min="1" max="1" width="32.140625" customWidth="1"/>
    <col min="2" max="2" width="18.7109375" customWidth="1"/>
    <col min="3" max="3" width="14.7109375" customWidth="1"/>
    <col min="4" max="4" width="18.7109375" customWidth="1"/>
    <col min="5" max="5" width="15.7109375" customWidth="1"/>
    <col min="6" max="6" width="12.7109375" customWidth="1"/>
    <col min="7" max="7" width="15.7109375" customWidth="1"/>
    <col min="8" max="8" width="12.7109375" customWidth="1"/>
    <col min="9" max="9" width="9.7109375" customWidth="1"/>
    <col min="10" max="10" width="28.7109375" customWidth="1"/>
    <col min="11" max="11" width="44.7109375" customWidth="1"/>
    <col min="12" max="12" width="3.7109375" customWidth="1"/>
    <col min="13" max="13" width="40.7109375" customWidth="1"/>
    <col min="14" max="14" width="16.7109375" customWidth="1"/>
    <col min="15" max="16" width="30.7109375" customWidth="1"/>
    <col min="17" max="17" width="44.7109375" customWidth="1"/>
  </cols>
  <sheetData>
    <row r="1" spans="1:17" ht="30" customHeight="1" x14ac:dyDescent="0.3">
      <c r="A1" s="37" t="s">
        <v>66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x14ac:dyDescent="0.25">
      <c r="A2" s="11"/>
    </row>
    <row r="3" spans="1:17" x14ac:dyDescent="0.25">
      <c r="A3" s="10" t="s">
        <v>55</v>
      </c>
    </row>
    <row r="4" spans="1:17" x14ac:dyDescent="0.25">
      <c r="A4" s="12" t="s">
        <v>56</v>
      </c>
      <c r="B4" s="12" t="s">
        <v>45</v>
      </c>
      <c r="C4" s="12" t="s">
        <v>42</v>
      </c>
      <c r="D4" s="12" t="s">
        <v>43</v>
      </c>
      <c r="E4" s="12" t="s">
        <v>46</v>
      </c>
      <c r="F4" s="12" t="s">
        <v>57</v>
      </c>
      <c r="G4" s="12" t="s">
        <v>58</v>
      </c>
      <c r="H4" s="12" t="s">
        <v>59</v>
      </c>
      <c r="I4" s="12" t="s">
        <v>60</v>
      </c>
      <c r="J4" s="12" t="s">
        <v>49</v>
      </c>
      <c r="K4" s="12" t="s">
        <v>61</v>
      </c>
      <c r="M4" s="16" t="s">
        <v>62</v>
      </c>
      <c r="N4" s="16" t="s">
        <v>43</v>
      </c>
      <c r="O4" s="16" t="s">
        <v>63</v>
      </c>
      <c r="P4" s="16" t="s">
        <v>64</v>
      </c>
      <c r="Q4" s="16" t="s">
        <v>65</v>
      </c>
    </row>
    <row r="5" spans="1:17" x14ac:dyDescent="0.25">
      <c r="A5" s="15"/>
      <c r="B5" s="15"/>
      <c r="C5" s="15"/>
      <c r="E5" s="13"/>
      <c r="F5" s="14"/>
      <c r="G5" s="15"/>
    </row>
    <row r="6" spans="1:17" x14ac:dyDescent="0.25">
      <c r="A6" s="15"/>
      <c r="B6" s="15"/>
      <c r="C6" s="15"/>
      <c r="E6" s="13"/>
      <c r="F6" s="14"/>
      <c r="G6" s="15"/>
    </row>
    <row r="7" spans="1:17" x14ac:dyDescent="0.25">
      <c r="A7" s="15"/>
      <c r="B7" s="15"/>
      <c r="C7" s="15"/>
      <c r="E7" s="13"/>
      <c r="F7" s="14"/>
      <c r="G7" s="15"/>
    </row>
    <row r="8" spans="1:17" x14ac:dyDescent="0.25">
      <c r="A8" s="15"/>
      <c r="B8" s="15"/>
      <c r="C8" s="15"/>
      <c r="E8" s="13"/>
      <c r="F8" s="14"/>
      <c r="G8" s="15"/>
    </row>
    <row r="9" spans="1:17" x14ac:dyDescent="0.25">
      <c r="A9" s="15"/>
      <c r="B9" s="15"/>
      <c r="C9" s="15"/>
      <c r="E9" s="13"/>
      <c r="F9" s="14"/>
      <c r="G9" s="15"/>
    </row>
    <row r="10" spans="1:17" x14ac:dyDescent="0.25">
      <c r="A10" s="15"/>
      <c r="B10" s="15"/>
      <c r="C10" s="15"/>
      <c r="E10" s="13"/>
      <c r="F10" s="14"/>
      <c r="G10" s="15"/>
    </row>
    <row r="11" spans="1:17" x14ac:dyDescent="0.25">
      <c r="A11" s="15"/>
      <c r="B11" s="15"/>
      <c r="C11" s="15"/>
      <c r="E11" s="13"/>
      <c r="F11" s="14"/>
      <c r="G11" s="15"/>
    </row>
    <row r="12" spans="1:17" x14ac:dyDescent="0.25">
      <c r="A12" s="15"/>
      <c r="B12" s="15"/>
      <c r="C12" s="15"/>
      <c r="E12" s="13"/>
      <c r="F12" s="14"/>
      <c r="G12" s="15"/>
    </row>
    <row r="13" spans="1:17" x14ac:dyDescent="0.25">
      <c r="A13" s="15"/>
      <c r="B13" s="15"/>
      <c r="C13" s="15"/>
      <c r="E13" s="13"/>
      <c r="F13" s="14"/>
      <c r="G13" s="15"/>
    </row>
    <row r="14" spans="1:17" x14ac:dyDescent="0.25">
      <c r="A14" s="15"/>
      <c r="B14" s="15"/>
      <c r="C14" s="15"/>
      <c r="E14" s="13"/>
      <c r="F14" s="14"/>
      <c r="G14" s="15"/>
    </row>
    <row r="15" spans="1:17" x14ac:dyDescent="0.25">
      <c r="A15" s="15"/>
      <c r="B15" s="15"/>
      <c r="C15" s="15"/>
      <c r="E15" s="13"/>
      <c r="F15" s="14"/>
      <c r="G15" s="15"/>
    </row>
    <row r="16" spans="1:17" x14ac:dyDescent="0.25">
      <c r="A16" s="15"/>
      <c r="B16" s="15"/>
      <c r="C16" s="15"/>
      <c r="E16" s="13"/>
      <c r="F16" s="14"/>
      <c r="G16" s="15"/>
    </row>
    <row r="17" spans="1:7" x14ac:dyDescent="0.25">
      <c r="A17" s="15"/>
      <c r="B17" s="15"/>
      <c r="C17" s="15"/>
      <c r="E17" s="13"/>
      <c r="F17" s="14"/>
      <c r="G17" s="15"/>
    </row>
    <row r="18" spans="1:7" x14ac:dyDescent="0.25">
      <c r="A18" s="15"/>
      <c r="B18" s="15"/>
      <c r="C18" s="15"/>
      <c r="E18" s="13"/>
      <c r="F18" s="14"/>
      <c r="G18" s="15"/>
    </row>
    <row r="19" spans="1:7" x14ac:dyDescent="0.25">
      <c r="A19" s="15"/>
      <c r="B19" s="15"/>
      <c r="C19" s="15"/>
      <c r="E19" s="13"/>
      <c r="F19" s="14"/>
      <c r="G19" s="15"/>
    </row>
    <row r="20" spans="1:7" x14ac:dyDescent="0.25">
      <c r="A20" s="15"/>
      <c r="B20" s="15"/>
      <c r="C20" s="15"/>
      <c r="E20" s="13"/>
      <c r="F20" s="14"/>
      <c r="G20" s="15"/>
    </row>
    <row r="21" spans="1:7" x14ac:dyDescent="0.25">
      <c r="A21" s="15"/>
      <c r="B21" s="15"/>
      <c r="C21" s="15"/>
      <c r="E21" s="13"/>
      <c r="F21" s="14"/>
      <c r="G21" s="15"/>
    </row>
    <row r="22" spans="1:7" x14ac:dyDescent="0.25">
      <c r="A22" s="15"/>
      <c r="B22" s="15"/>
      <c r="C22" s="15"/>
      <c r="E22" s="13"/>
      <c r="F22" s="14"/>
      <c r="G22" s="15"/>
    </row>
    <row r="23" spans="1:7" x14ac:dyDescent="0.25">
      <c r="A23" s="15"/>
      <c r="B23" s="15"/>
      <c r="C23" s="15"/>
      <c r="E23" s="13"/>
      <c r="F23" s="14"/>
      <c r="G23" s="15"/>
    </row>
    <row r="24" spans="1:7" x14ac:dyDescent="0.25">
      <c r="A24" s="15"/>
      <c r="B24" s="15"/>
      <c r="C24" s="15"/>
      <c r="E24" s="13"/>
      <c r="F24" s="14"/>
      <c r="G24" s="15"/>
    </row>
    <row r="25" spans="1:7" x14ac:dyDescent="0.25">
      <c r="A25" s="15"/>
      <c r="B25" s="15"/>
      <c r="C25" s="15"/>
      <c r="E25" s="13"/>
      <c r="F25" s="14"/>
      <c r="G25" s="15"/>
    </row>
    <row r="26" spans="1:7" x14ac:dyDescent="0.25">
      <c r="A26" s="15"/>
      <c r="B26" s="15"/>
      <c r="C26" s="15"/>
      <c r="E26" s="13"/>
      <c r="F26" s="14"/>
      <c r="G26" s="15"/>
    </row>
    <row r="27" spans="1:7" x14ac:dyDescent="0.25">
      <c r="A27" s="15"/>
      <c r="B27" s="15"/>
      <c r="C27" s="15"/>
      <c r="E27" s="13"/>
      <c r="F27" s="14"/>
      <c r="G27" s="15"/>
    </row>
    <row r="28" spans="1:7" x14ac:dyDescent="0.25">
      <c r="A28" s="15"/>
      <c r="B28" s="15"/>
      <c r="C28" s="15"/>
      <c r="E28" s="13"/>
      <c r="F28" s="14"/>
      <c r="G28" s="15"/>
    </row>
    <row r="29" spans="1:7" x14ac:dyDescent="0.25">
      <c r="A29" s="15"/>
      <c r="B29" s="15"/>
      <c r="C29" s="15"/>
      <c r="E29" s="13"/>
      <c r="F29" s="14"/>
      <c r="G29" s="15"/>
    </row>
    <row r="30" spans="1:7" x14ac:dyDescent="0.25">
      <c r="A30" s="15"/>
      <c r="B30" s="15"/>
      <c r="C30" s="15"/>
      <c r="E30" s="13"/>
      <c r="F30" s="14"/>
      <c r="G30" s="15"/>
    </row>
    <row r="31" spans="1:7" x14ac:dyDescent="0.25">
      <c r="A31" s="15"/>
      <c r="B31" s="15"/>
      <c r="C31" s="15"/>
      <c r="E31" s="13"/>
      <c r="F31" s="14"/>
      <c r="G31" s="15"/>
    </row>
    <row r="32" spans="1:7" x14ac:dyDescent="0.25">
      <c r="A32" s="15"/>
      <c r="B32" s="15"/>
      <c r="C32" s="15"/>
      <c r="E32" s="13"/>
      <c r="F32" s="14"/>
      <c r="G32" s="15"/>
    </row>
    <row r="33" spans="1:7" x14ac:dyDescent="0.25">
      <c r="A33" s="15"/>
      <c r="B33" s="15"/>
      <c r="C33" s="15"/>
      <c r="E33" s="13"/>
      <c r="F33" s="14"/>
      <c r="G33" s="15"/>
    </row>
    <row r="34" spans="1:7" x14ac:dyDescent="0.25">
      <c r="A34" s="15"/>
      <c r="B34" s="15"/>
      <c r="C34" s="15"/>
      <c r="E34" s="13"/>
      <c r="F34" s="14"/>
      <c r="G34" s="15"/>
    </row>
    <row r="35" spans="1:7" x14ac:dyDescent="0.25">
      <c r="A35" s="15"/>
      <c r="B35" s="15"/>
      <c r="C35" s="15"/>
      <c r="E35" s="13"/>
      <c r="F35" s="14"/>
      <c r="G35" s="15"/>
    </row>
    <row r="36" spans="1:7" x14ac:dyDescent="0.25">
      <c r="A36" s="15"/>
      <c r="B36" s="15"/>
      <c r="C36" s="15"/>
      <c r="E36" s="13"/>
      <c r="F36" s="14"/>
      <c r="G36" s="15"/>
    </row>
    <row r="37" spans="1:7" x14ac:dyDescent="0.25">
      <c r="A37" s="15"/>
      <c r="B37" s="15"/>
      <c r="C37" s="15"/>
      <c r="E37" s="13"/>
      <c r="F37" s="14"/>
      <c r="G37" s="15"/>
    </row>
    <row r="38" spans="1:7" x14ac:dyDescent="0.25">
      <c r="A38" s="15"/>
      <c r="B38" s="15"/>
      <c r="C38" s="15"/>
      <c r="E38" s="13"/>
      <c r="F38" s="14"/>
      <c r="G38" s="15"/>
    </row>
    <row r="39" spans="1:7" x14ac:dyDescent="0.25">
      <c r="A39" s="15"/>
      <c r="B39" s="15"/>
      <c r="C39" s="15"/>
      <c r="E39" s="13"/>
      <c r="F39" s="14"/>
      <c r="G39" s="15"/>
    </row>
    <row r="40" spans="1:7" x14ac:dyDescent="0.25">
      <c r="A40" s="15"/>
      <c r="B40" s="15"/>
      <c r="C40" s="15"/>
      <c r="E40" s="13"/>
      <c r="F40" s="14"/>
      <c r="G40" s="15"/>
    </row>
    <row r="41" spans="1:7" x14ac:dyDescent="0.25">
      <c r="A41" s="15"/>
      <c r="B41" s="15"/>
      <c r="C41" s="15"/>
      <c r="E41" s="13"/>
      <c r="F41" s="14"/>
      <c r="G41" s="15"/>
    </row>
    <row r="42" spans="1:7" x14ac:dyDescent="0.25">
      <c r="A42" s="15"/>
      <c r="B42" s="15"/>
      <c r="C42" s="15"/>
      <c r="E42" s="13"/>
      <c r="F42" s="14"/>
      <c r="G42" s="15"/>
    </row>
    <row r="43" spans="1:7" x14ac:dyDescent="0.25">
      <c r="A43" s="15"/>
      <c r="B43" s="15"/>
      <c r="C43" s="15"/>
      <c r="E43" s="13"/>
      <c r="F43" s="14"/>
      <c r="G43" s="15"/>
    </row>
    <row r="44" spans="1:7" x14ac:dyDescent="0.25">
      <c r="A44" s="15"/>
      <c r="B44" s="15"/>
      <c r="C44" s="15"/>
      <c r="E44" s="13"/>
      <c r="F44" s="14"/>
      <c r="G44" s="15"/>
    </row>
    <row r="45" spans="1:7" x14ac:dyDescent="0.25">
      <c r="A45" s="15"/>
      <c r="B45" s="15"/>
      <c r="C45" s="15"/>
      <c r="E45" s="13"/>
      <c r="F45" s="14"/>
      <c r="G45" s="15"/>
    </row>
    <row r="46" spans="1:7" x14ac:dyDescent="0.25">
      <c r="A46" s="15"/>
      <c r="B46" s="15"/>
      <c r="C46" s="15"/>
      <c r="E46" s="13"/>
      <c r="F46" s="14"/>
      <c r="G46" s="15"/>
    </row>
    <row r="47" spans="1:7" x14ac:dyDescent="0.25">
      <c r="A47" s="15"/>
      <c r="B47" s="15"/>
      <c r="C47" s="15"/>
      <c r="E47" s="13"/>
      <c r="F47" s="14"/>
      <c r="G47" s="15"/>
    </row>
    <row r="48" spans="1:7" x14ac:dyDescent="0.25">
      <c r="A48" s="15"/>
      <c r="B48" s="15"/>
      <c r="C48" s="15"/>
      <c r="E48" s="13"/>
      <c r="F48" s="14"/>
      <c r="G48" s="15"/>
    </row>
    <row r="49" spans="1:7" x14ac:dyDescent="0.25">
      <c r="A49" s="15"/>
      <c r="B49" s="15"/>
      <c r="C49" s="15"/>
      <c r="E49" s="13"/>
      <c r="F49" s="14"/>
      <c r="G49" s="15"/>
    </row>
    <row r="50" spans="1:7" x14ac:dyDescent="0.25">
      <c r="A50" s="15"/>
      <c r="B50" s="15"/>
      <c r="C50" s="15"/>
      <c r="E50" s="13"/>
      <c r="F50" s="14"/>
      <c r="G50" s="15"/>
    </row>
    <row r="51" spans="1:7" x14ac:dyDescent="0.25">
      <c r="A51" s="15"/>
      <c r="B51" s="15"/>
      <c r="C51" s="15"/>
      <c r="E51" s="13"/>
      <c r="F51" s="14"/>
      <c r="G51" s="15"/>
    </row>
    <row r="52" spans="1:7" x14ac:dyDescent="0.25">
      <c r="A52" s="15"/>
      <c r="B52" s="15"/>
      <c r="C52" s="15"/>
      <c r="E52" s="13"/>
      <c r="F52" s="14"/>
      <c r="G52" s="15"/>
    </row>
    <row r="53" spans="1:7" x14ac:dyDescent="0.25">
      <c r="A53" s="15"/>
      <c r="B53" s="15"/>
      <c r="C53" s="15"/>
      <c r="E53" s="13"/>
      <c r="F53" s="14"/>
      <c r="G53" s="15"/>
    </row>
    <row r="54" spans="1:7" x14ac:dyDescent="0.25">
      <c r="A54" s="15"/>
      <c r="B54" s="15"/>
      <c r="C54" s="15"/>
      <c r="E54" s="13"/>
      <c r="F54" s="14"/>
      <c r="G54" s="15"/>
    </row>
    <row r="55" spans="1:7" x14ac:dyDescent="0.25">
      <c r="A55" s="15"/>
      <c r="B55" s="15"/>
      <c r="C55" s="15"/>
      <c r="E55" s="13"/>
      <c r="F55" s="14"/>
      <c r="G55" s="15"/>
    </row>
    <row r="56" spans="1:7" x14ac:dyDescent="0.25">
      <c r="A56" s="15"/>
      <c r="B56" s="15"/>
      <c r="C56" s="15"/>
      <c r="E56" s="13"/>
      <c r="F56" s="14"/>
      <c r="G56" s="15"/>
    </row>
    <row r="57" spans="1:7" x14ac:dyDescent="0.25">
      <c r="A57" s="15"/>
      <c r="B57" s="15"/>
      <c r="C57" s="15"/>
      <c r="E57" s="13"/>
      <c r="F57" s="14"/>
      <c r="G57" s="15"/>
    </row>
    <row r="58" spans="1:7" x14ac:dyDescent="0.25">
      <c r="A58" s="15"/>
      <c r="B58" s="15"/>
      <c r="C58" s="15"/>
      <c r="E58" s="13"/>
      <c r="F58" s="14"/>
      <c r="G58" s="15"/>
    </row>
    <row r="59" spans="1:7" x14ac:dyDescent="0.25">
      <c r="A59" s="15"/>
      <c r="B59" s="15"/>
      <c r="C59" s="15"/>
      <c r="E59" s="13"/>
      <c r="F59" s="14"/>
      <c r="G59" s="15"/>
    </row>
    <row r="60" spans="1:7" x14ac:dyDescent="0.25">
      <c r="A60" s="15"/>
      <c r="B60" s="15"/>
      <c r="C60" s="15"/>
      <c r="E60" s="13"/>
      <c r="F60" s="14"/>
      <c r="G60" s="15"/>
    </row>
    <row r="61" spans="1:7" x14ac:dyDescent="0.25">
      <c r="A61" s="15"/>
      <c r="B61" s="15"/>
      <c r="C61" s="15"/>
      <c r="E61" s="13"/>
      <c r="F61" s="14"/>
      <c r="G61" s="15"/>
    </row>
    <row r="62" spans="1:7" x14ac:dyDescent="0.25">
      <c r="A62" s="15"/>
      <c r="B62" s="15"/>
      <c r="C62" s="15"/>
      <c r="E62" s="13"/>
      <c r="F62" s="14"/>
      <c r="G62" s="15"/>
    </row>
    <row r="63" spans="1:7" x14ac:dyDescent="0.25">
      <c r="A63" s="15"/>
      <c r="B63" s="15"/>
      <c r="C63" s="15"/>
      <c r="E63" s="13"/>
      <c r="F63" s="14"/>
      <c r="G63" s="15"/>
    </row>
    <row r="64" spans="1:7" x14ac:dyDescent="0.25">
      <c r="A64" s="15"/>
      <c r="B64" s="15"/>
      <c r="C64" s="15"/>
      <c r="E64" s="13"/>
      <c r="F64" s="14"/>
      <c r="G64" s="15"/>
    </row>
    <row r="65" spans="1:7" x14ac:dyDescent="0.25">
      <c r="A65" s="15"/>
      <c r="B65" s="15"/>
      <c r="C65" s="15"/>
      <c r="E65" s="13"/>
      <c r="F65" s="14"/>
      <c r="G65" s="15"/>
    </row>
    <row r="66" spans="1:7" x14ac:dyDescent="0.25">
      <c r="A66" s="15"/>
      <c r="B66" s="15"/>
      <c r="C66" s="15"/>
      <c r="E66" s="13"/>
      <c r="F66" s="14"/>
      <c r="G66" s="15"/>
    </row>
    <row r="67" spans="1:7" x14ac:dyDescent="0.25">
      <c r="A67" s="15"/>
      <c r="B67" s="15"/>
      <c r="C67" s="15"/>
      <c r="E67" s="13"/>
      <c r="F67" s="14"/>
      <c r="G67" s="15"/>
    </row>
    <row r="68" spans="1:7" x14ac:dyDescent="0.25">
      <c r="A68" s="15"/>
      <c r="B68" s="15"/>
      <c r="C68" s="15"/>
      <c r="E68" s="13"/>
      <c r="F68" s="14"/>
      <c r="G68" s="15"/>
    </row>
    <row r="69" spans="1:7" x14ac:dyDescent="0.25">
      <c r="A69" s="15"/>
      <c r="B69" s="15"/>
      <c r="C69" s="15"/>
      <c r="E69" s="13"/>
      <c r="F69" s="14"/>
      <c r="G69" s="15"/>
    </row>
    <row r="70" spans="1:7" x14ac:dyDescent="0.25">
      <c r="A70" s="15"/>
      <c r="B70" s="15"/>
      <c r="C70" s="15"/>
      <c r="E70" s="13"/>
      <c r="F70" s="14"/>
      <c r="G70" s="15"/>
    </row>
    <row r="71" spans="1:7" x14ac:dyDescent="0.25">
      <c r="A71" s="15"/>
      <c r="B71" s="15"/>
      <c r="C71" s="15"/>
      <c r="E71" s="13"/>
      <c r="F71" s="14"/>
      <c r="G71" s="15"/>
    </row>
    <row r="72" spans="1:7" x14ac:dyDescent="0.25">
      <c r="A72" s="15"/>
      <c r="B72" s="15"/>
      <c r="C72" s="15"/>
      <c r="E72" s="13"/>
      <c r="F72" s="14"/>
      <c r="G72" s="15"/>
    </row>
    <row r="73" spans="1:7" x14ac:dyDescent="0.25">
      <c r="A73" s="15"/>
      <c r="B73" s="15"/>
      <c r="C73" s="15"/>
      <c r="E73" s="13"/>
      <c r="F73" s="14"/>
      <c r="G73" s="15"/>
    </row>
    <row r="74" spans="1:7" x14ac:dyDescent="0.25">
      <c r="A74" s="15"/>
      <c r="B74" s="15"/>
      <c r="C74" s="15"/>
      <c r="E74" s="13"/>
      <c r="F74" s="14"/>
      <c r="G74" s="15"/>
    </row>
    <row r="75" spans="1:7" x14ac:dyDescent="0.25">
      <c r="A75" s="15"/>
      <c r="B75" s="15"/>
      <c r="C75" s="15"/>
      <c r="E75" s="13"/>
      <c r="F75" s="14"/>
      <c r="G75" s="15"/>
    </row>
    <row r="76" spans="1:7" x14ac:dyDescent="0.25">
      <c r="A76" s="15"/>
      <c r="B76" s="15"/>
      <c r="C76" s="15"/>
      <c r="E76" s="13"/>
      <c r="F76" s="14"/>
      <c r="G76" s="15"/>
    </row>
    <row r="77" spans="1:7" x14ac:dyDescent="0.25">
      <c r="A77" s="15"/>
      <c r="B77" s="15"/>
      <c r="C77" s="15"/>
      <c r="E77" s="13"/>
      <c r="F77" s="14"/>
      <c r="G77" s="15"/>
    </row>
    <row r="78" spans="1:7" x14ac:dyDescent="0.25">
      <c r="A78" s="15"/>
      <c r="B78" s="15"/>
      <c r="C78" s="15"/>
      <c r="E78" s="13"/>
      <c r="F78" s="14"/>
      <c r="G78" s="15"/>
    </row>
    <row r="79" spans="1:7" x14ac:dyDescent="0.25">
      <c r="A79" s="15"/>
      <c r="B79" s="15"/>
      <c r="C79" s="15"/>
      <c r="E79" s="13"/>
      <c r="F79" s="14"/>
      <c r="G79" s="15"/>
    </row>
    <row r="80" spans="1:7" x14ac:dyDescent="0.25">
      <c r="A80" s="15"/>
      <c r="B80" s="15"/>
      <c r="C80" s="15"/>
      <c r="E80" s="13"/>
      <c r="F80" s="14"/>
      <c r="G80" s="15"/>
    </row>
    <row r="81" spans="1:7" x14ac:dyDescent="0.25">
      <c r="A81" s="15"/>
      <c r="B81" s="15"/>
      <c r="C81" s="15"/>
      <c r="E81" s="13"/>
      <c r="F81" s="14"/>
      <c r="G81" s="15"/>
    </row>
    <row r="82" spans="1:7" x14ac:dyDescent="0.25">
      <c r="A82" s="15"/>
      <c r="B82" s="15"/>
      <c r="C82" s="15"/>
      <c r="E82" s="13"/>
      <c r="F82" s="14"/>
      <c r="G82" s="15"/>
    </row>
    <row r="83" spans="1:7" x14ac:dyDescent="0.25">
      <c r="A83" s="15"/>
      <c r="B83" s="15"/>
      <c r="C83" s="15"/>
      <c r="E83" s="13"/>
      <c r="F83" s="14"/>
      <c r="G83" s="15"/>
    </row>
    <row r="84" spans="1:7" x14ac:dyDescent="0.25">
      <c r="A84" s="15"/>
      <c r="B84" s="15"/>
      <c r="C84" s="15"/>
      <c r="E84" s="13"/>
      <c r="F84" s="14"/>
      <c r="G84" s="15"/>
    </row>
    <row r="85" spans="1:7" x14ac:dyDescent="0.25">
      <c r="A85" s="15"/>
      <c r="B85" s="15"/>
      <c r="C85" s="15"/>
      <c r="E85" s="13"/>
      <c r="F85" s="14"/>
      <c r="G85" s="15"/>
    </row>
    <row r="86" spans="1:7" x14ac:dyDescent="0.25">
      <c r="A86" s="15"/>
      <c r="B86" s="15"/>
      <c r="C86" s="15"/>
      <c r="E86" s="13"/>
      <c r="F86" s="14"/>
      <c r="G86" s="15"/>
    </row>
    <row r="87" spans="1:7" x14ac:dyDescent="0.25">
      <c r="A87" s="15"/>
      <c r="B87" s="15"/>
      <c r="C87" s="15"/>
      <c r="E87" s="13"/>
      <c r="F87" s="14"/>
      <c r="G87" s="15"/>
    </row>
    <row r="88" spans="1:7" x14ac:dyDescent="0.25">
      <c r="A88" s="15"/>
      <c r="B88" s="15"/>
      <c r="C88" s="15"/>
      <c r="E88" s="13"/>
      <c r="F88" s="14"/>
      <c r="G88" s="15"/>
    </row>
    <row r="89" spans="1:7" x14ac:dyDescent="0.25">
      <c r="A89" s="15"/>
      <c r="B89" s="15"/>
      <c r="C89" s="15"/>
      <c r="E89" s="13"/>
      <c r="F89" s="14"/>
      <c r="G89" s="15"/>
    </row>
    <row r="90" spans="1:7" x14ac:dyDescent="0.25">
      <c r="A90" s="15"/>
      <c r="B90" s="15"/>
      <c r="C90" s="15"/>
      <c r="E90" s="13"/>
      <c r="F90" s="14"/>
      <c r="G90" s="15"/>
    </row>
    <row r="91" spans="1:7" x14ac:dyDescent="0.25">
      <c r="A91" s="15"/>
      <c r="B91" s="15"/>
      <c r="C91" s="15"/>
      <c r="E91" s="13"/>
      <c r="F91" s="14"/>
      <c r="G91" s="15"/>
    </row>
    <row r="92" spans="1:7" x14ac:dyDescent="0.25">
      <c r="A92" s="15"/>
      <c r="B92" s="15"/>
      <c r="C92" s="15"/>
      <c r="E92" s="13"/>
      <c r="F92" s="14"/>
      <c r="G92" s="15"/>
    </row>
    <row r="93" spans="1:7" x14ac:dyDescent="0.25">
      <c r="A93" s="15"/>
      <c r="B93" s="15"/>
      <c r="C93" s="15"/>
      <c r="E93" s="13"/>
      <c r="F93" s="14"/>
      <c r="G93" s="15"/>
    </row>
    <row r="94" spans="1:7" x14ac:dyDescent="0.25">
      <c r="A94" s="15"/>
      <c r="B94" s="15"/>
      <c r="C94" s="15"/>
      <c r="E94" s="13"/>
      <c r="F94" s="14"/>
      <c r="G94" s="15"/>
    </row>
    <row r="95" spans="1:7" x14ac:dyDescent="0.25">
      <c r="A95" s="15"/>
      <c r="B95" s="15"/>
      <c r="C95" s="15"/>
      <c r="E95" s="13"/>
      <c r="F95" s="14"/>
      <c r="G95" s="15"/>
    </row>
    <row r="96" spans="1:7" x14ac:dyDescent="0.25">
      <c r="A96" s="15"/>
      <c r="B96" s="15"/>
      <c r="C96" s="15"/>
      <c r="E96" s="13"/>
      <c r="F96" s="14"/>
      <c r="G96" s="15"/>
    </row>
    <row r="97" spans="1:7" x14ac:dyDescent="0.25">
      <c r="A97" s="15"/>
      <c r="B97" s="15"/>
      <c r="C97" s="15"/>
      <c r="E97" s="13"/>
      <c r="F97" s="14"/>
      <c r="G97" s="15"/>
    </row>
    <row r="98" spans="1:7" x14ac:dyDescent="0.25">
      <c r="A98" s="15"/>
      <c r="B98" s="15"/>
      <c r="C98" s="15"/>
      <c r="E98" s="13"/>
      <c r="F98" s="14"/>
      <c r="G98" s="15"/>
    </row>
    <row r="99" spans="1:7" x14ac:dyDescent="0.25">
      <c r="A99" s="15"/>
      <c r="B99" s="15"/>
      <c r="C99" s="15"/>
      <c r="E99" s="13"/>
      <c r="F99" s="14"/>
      <c r="G99" s="15"/>
    </row>
    <row r="100" spans="1:7" x14ac:dyDescent="0.25">
      <c r="A100" s="15"/>
      <c r="B100" s="15"/>
      <c r="C100" s="15"/>
      <c r="E100" s="13"/>
      <c r="F100" s="14"/>
      <c r="G100" s="15"/>
    </row>
    <row r="101" spans="1:7" x14ac:dyDescent="0.25">
      <c r="A101" s="15"/>
      <c r="B101" s="15"/>
      <c r="C101" s="15"/>
      <c r="E101" s="13"/>
      <c r="F101" s="14"/>
      <c r="G101" s="15"/>
    </row>
    <row r="102" spans="1:7" x14ac:dyDescent="0.25">
      <c r="A102" s="15"/>
      <c r="B102" s="15"/>
      <c r="C102" s="15"/>
      <c r="E102" s="13"/>
      <c r="F102" s="14"/>
      <c r="G102" s="15"/>
    </row>
    <row r="103" spans="1:7" x14ac:dyDescent="0.25">
      <c r="A103" s="15"/>
      <c r="B103" s="15"/>
      <c r="C103" s="15"/>
      <c r="E103" s="13"/>
      <c r="F103" s="14"/>
      <c r="G103" s="15"/>
    </row>
    <row r="104" spans="1:7" x14ac:dyDescent="0.25">
      <c r="A104" s="15"/>
      <c r="B104" s="15"/>
      <c r="C104" s="15"/>
      <c r="E104" s="13"/>
      <c r="F104" s="14"/>
      <c r="G104" s="15"/>
    </row>
    <row r="105" spans="1:7" x14ac:dyDescent="0.25">
      <c r="A105" s="15"/>
      <c r="B105" s="15"/>
      <c r="C105" s="15"/>
      <c r="E105" s="13"/>
      <c r="F105" s="14"/>
      <c r="G105" s="15"/>
    </row>
    <row r="106" spans="1:7" x14ac:dyDescent="0.25">
      <c r="A106" s="15"/>
      <c r="B106" s="15"/>
      <c r="C106" s="15"/>
      <c r="E106" s="13"/>
      <c r="F106" s="14"/>
      <c r="G106" s="15"/>
    </row>
    <row r="107" spans="1:7" x14ac:dyDescent="0.25">
      <c r="A107" s="15"/>
      <c r="B107" s="15"/>
      <c r="C107" s="15"/>
      <c r="E107" s="13"/>
      <c r="F107" s="14"/>
      <c r="G107" s="15"/>
    </row>
    <row r="108" spans="1:7" x14ac:dyDescent="0.25">
      <c r="A108" s="15"/>
      <c r="B108" s="15"/>
      <c r="C108" s="15"/>
      <c r="E108" s="13"/>
      <c r="F108" s="14"/>
      <c r="G108" s="15"/>
    </row>
    <row r="109" spans="1:7" x14ac:dyDescent="0.25">
      <c r="A109" s="15"/>
      <c r="B109" s="15"/>
      <c r="C109" s="15"/>
      <c r="E109" s="13"/>
      <c r="F109" s="14"/>
      <c r="G109" s="15"/>
    </row>
    <row r="110" spans="1:7" x14ac:dyDescent="0.25">
      <c r="A110" s="15"/>
      <c r="B110" s="15"/>
      <c r="C110" s="15"/>
      <c r="E110" s="13"/>
      <c r="F110" s="14"/>
      <c r="G110" s="15"/>
    </row>
    <row r="111" spans="1:7" x14ac:dyDescent="0.25">
      <c r="A111" s="15"/>
      <c r="B111" s="15"/>
      <c r="C111" s="15"/>
      <c r="E111" s="13"/>
      <c r="F111" s="14"/>
      <c r="G111" s="15"/>
    </row>
    <row r="112" spans="1:7" x14ac:dyDescent="0.25">
      <c r="A112" s="15"/>
      <c r="B112" s="15"/>
      <c r="C112" s="15"/>
      <c r="E112" s="13"/>
      <c r="F112" s="14"/>
      <c r="G112" s="15"/>
    </row>
    <row r="113" spans="1:7" x14ac:dyDescent="0.25">
      <c r="A113" s="15"/>
      <c r="B113" s="15"/>
      <c r="C113" s="15"/>
      <c r="E113" s="13"/>
      <c r="F113" s="14"/>
      <c r="G113" s="15"/>
    </row>
    <row r="114" spans="1:7" x14ac:dyDescent="0.25">
      <c r="A114" s="15"/>
      <c r="B114" s="15"/>
      <c r="C114" s="15"/>
      <c r="E114" s="13"/>
      <c r="F114" s="14"/>
      <c r="G114" s="15"/>
    </row>
    <row r="115" spans="1:7" x14ac:dyDescent="0.25">
      <c r="A115" s="15"/>
      <c r="B115" s="15"/>
      <c r="C115" s="15"/>
      <c r="E115" s="13"/>
      <c r="F115" s="14"/>
      <c r="G115" s="15"/>
    </row>
    <row r="116" spans="1:7" x14ac:dyDescent="0.25">
      <c r="A116" s="15"/>
      <c r="B116" s="15"/>
      <c r="C116" s="15"/>
      <c r="E116" s="13"/>
      <c r="F116" s="14"/>
      <c r="G116" s="15"/>
    </row>
    <row r="117" spans="1:7" x14ac:dyDescent="0.25">
      <c r="A117" s="15"/>
      <c r="B117" s="15"/>
      <c r="C117" s="15"/>
      <c r="E117" s="13"/>
      <c r="F117" s="14"/>
      <c r="G117" s="15"/>
    </row>
    <row r="118" spans="1:7" x14ac:dyDescent="0.25">
      <c r="A118" s="15"/>
      <c r="B118" s="15"/>
      <c r="C118" s="15"/>
      <c r="E118" s="13"/>
      <c r="F118" s="14"/>
      <c r="G118" s="15"/>
    </row>
    <row r="119" spans="1:7" x14ac:dyDescent="0.25">
      <c r="A119" s="15"/>
      <c r="B119" s="15"/>
      <c r="C119" s="15"/>
      <c r="E119" s="13"/>
      <c r="F119" s="14"/>
      <c r="G119" s="15"/>
    </row>
    <row r="120" spans="1:7" x14ac:dyDescent="0.25">
      <c r="A120" s="15"/>
      <c r="B120" s="15"/>
      <c r="C120" s="15"/>
      <c r="E120" s="13"/>
      <c r="F120" s="14"/>
      <c r="G120" s="15"/>
    </row>
    <row r="121" spans="1:7" x14ac:dyDescent="0.25">
      <c r="A121" s="15"/>
      <c r="B121" s="15"/>
      <c r="C121" s="15"/>
      <c r="E121" s="13"/>
      <c r="F121" s="14"/>
      <c r="G121" s="15"/>
    </row>
    <row r="122" spans="1:7" x14ac:dyDescent="0.25">
      <c r="A122" s="15"/>
      <c r="B122" s="15"/>
      <c r="C122" s="15"/>
      <c r="E122" s="13"/>
      <c r="F122" s="14"/>
      <c r="G122" s="15"/>
    </row>
    <row r="123" spans="1:7" x14ac:dyDescent="0.25">
      <c r="A123" s="15"/>
      <c r="B123" s="15"/>
      <c r="C123" s="15"/>
      <c r="E123" s="13"/>
      <c r="F123" s="14"/>
      <c r="G123" s="15"/>
    </row>
    <row r="124" spans="1:7" x14ac:dyDescent="0.25">
      <c r="A124" s="15"/>
      <c r="B124" s="15"/>
      <c r="C124" s="15"/>
      <c r="E124" s="13"/>
      <c r="F124" s="14"/>
      <c r="G124" s="15"/>
    </row>
    <row r="125" spans="1:7" x14ac:dyDescent="0.25">
      <c r="A125" s="15"/>
      <c r="B125" s="15"/>
      <c r="C125" s="15"/>
      <c r="E125" s="13"/>
      <c r="F125" s="14"/>
      <c r="G125" s="15"/>
    </row>
    <row r="126" spans="1:7" x14ac:dyDescent="0.25">
      <c r="A126" s="15"/>
      <c r="B126" s="15"/>
      <c r="C126" s="15"/>
      <c r="E126" s="13"/>
      <c r="F126" s="14"/>
      <c r="G126" s="15"/>
    </row>
    <row r="127" spans="1:7" x14ac:dyDescent="0.25">
      <c r="A127" s="15"/>
      <c r="B127" s="15"/>
      <c r="C127" s="15"/>
      <c r="E127" s="13"/>
      <c r="F127" s="14"/>
      <c r="G127" s="15"/>
    </row>
    <row r="128" spans="1:7" x14ac:dyDescent="0.25">
      <c r="A128" s="15"/>
      <c r="B128" s="15"/>
      <c r="C128" s="15"/>
      <c r="E128" s="13"/>
      <c r="F128" s="14"/>
      <c r="G128" s="15"/>
    </row>
    <row r="129" spans="1:7" x14ac:dyDescent="0.25">
      <c r="A129" s="15"/>
      <c r="B129" s="15"/>
      <c r="C129" s="15"/>
      <c r="E129" s="13"/>
      <c r="F129" s="14"/>
      <c r="G129" s="15"/>
    </row>
    <row r="130" spans="1:7" x14ac:dyDescent="0.25">
      <c r="A130" s="15"/>
      <c r="B130" s="15"/>
      <c r="C130" s="15"/>
      <c r="E130" s="13"/>
      <c r="F130" s="14"/>
      <c r="G130" s="15"/>
    </row>
    <row r="131" spans="1:7" x14ac:dyDescent="0.25">
      <c r="A131" s="15"/>
      <c r="B131" s="15"/>
      <c r="C131" s="15"/>
      <c r="E131" s="13"/>
      <c r="F131" s="14"/>
      <c r="G131" s="15"/>
    </row>
    <row r="132" spans="1:7" x14ac:dyDescent="0.25">
      <c r="A132" s="15"/>
      <c r="B132" s="15"/>
      <c r="C132" s="15"/>
      <c r="E132" s="13"/>
      <c r="F132" s="14"/>
      <c r="G132" s="15"/>
    </row>
    <row r="133" spans="1:7" x14ac:dyDescent="0.25">
      <c r="A133" s="15"/>
      <c r="B133" s="15"/>
      <c r="C133" s="15"/>
      <c r="E133" s="13"/>
      <c r="F133" s="14"/>
      <c r="G133" s="15"/>
    </row>
    <row r="134" spans="1:7" x14ac:dyDescent="0.25">
      <c r="A134" s="15"/>
      <c r="B134" s="15"/>
      <c r="C134" s="15"/>
      <c r="E134" s="13"/>
      <c r="F134" s="14"/>
      <c r="G134" s="15"/>
    </row>
    <row r="135" spans="1:7" x14ac:dyDescent="0.25">
      <c r="A135" s="15"/>
      <c r="B135" s="15"/>
      <c r="C135" s="15"/>
      <c r="E135" s="13"/>
      <c r="F135" s="14"/>
      <c r="G135" s="15"/>
    </row>
    <row r="136" spans="1:7" x14ac:dyDescent="0.25">
      <c r="A136" s="15"/>
      <c r="B136" s="15"/>
      <c r="C136" s="15"/>
      <c r="E136" s="13"/>
      <c r="F136" s="14"/>
      <c r="G136" s="15"/>
    </row>
    <row r="137" spans="1:7" x14ac:dyDescent="0.25">
      <c r="A137" s="15"/>
      <c r="B137" s="15"/>
      <c r="C137" s="15"/>
      <c r="E137" s="13"/>
      <c r="F137" s="14"/>
      <c r="G137" s="15"/>
    </row>
    <row r="138" spans="1:7" x14ac:dyDescent="0.25">
      <c r="A138" s="15"/>
      <c r="B138" s="15"/>
      <c r="C138" s="15"/>
      <c r="E138" s="13"/>
      <c r="F138" s="14"/>
      <c r="G138" s="15"/>
    </row>
    <row r="139" spans="1:7" x14ac:dyDescent="0.25">
      <c r="A139" s="15"/>
      <c r="B139" s="15"/>
      <c r="C139" s="15"/>
      <c r="E139" s="13"/>
      <c r="F139" s="14"/>
      <c r="G139" s="15"/>
    </row>
    <row r="140" spans="1:7" x14ac:dyDescent="0.25">
      <c r="A140" s="15"/>
      <c r="B140" s="15"/>
      <c r="C140" s="15"/>
      <c r="E140" s="13"/>
      <c r="F140" s="14"/>
      <c r="G140" s="15"/>
    </row>
    <row r="141" spans="1:7" x14ac:dyDescent="0.25">
      <c r="A141" s="15"/>
      <c r="B141" s="15"/>
      <c r="C141" s="15"/>
      <c r="E141" s="13"/>
      <c r="F141" s="14"/>
      <c r="G141" s="15"/>
    </row>
    <row r="142" spans="1:7" x14ac:dyDescent="0.25">
      <c r="A142" s="15"/>
      <c r="B142" s="15"/>
      <c r="C142" s="15"/>
      <c r="E142" s="13"/>
      <c r="F142" s="14"/>
      <c r="G142" s="15"/>
    </row>
    <row r="143" spans="1:7" x14ac:dyDescent="0.25">
      <c r="A143" s="15"/>
      <c r="B143" s="15"/>
      <c r="C143" s="15"/>
      <c r="E143" s="13"/>
      <c r="F143" s="14"/>
      <c r="G143" s="15"/>
    </row>
    <row r="144" spans="1:7" x14ac:dyDescent="0.25">
      <c r="A144" s="15"/>
      <c r="B144" s="15"/>
      <c r="C144" s="15"/>
      <c r="E144" s="13"/>
      <c r="F144" s="14"/>
      <c r="G144" s="15"/>
    </row>
    <row r="145" spans="1:7" x14ac:dyDescent="0.25">
      <c r="A145" s="15"/>
      <c r="B145" s="15"/>
      <c r="C145" s="15"/>
      <c r="E145" s="13"/>
      <c r="F145" s="14"/>
      <c r="G145" s="15"/>
    </row>
    <row r="146" spans="1:7" x14ac:dyDescent="0.25">
      <c r="A146" s="15"/>
      <c r="B146" s="15"/>
      <c r="C146" s="15"/>
      <c r="E146" s="13"/>
      <c r="F146" s="14"/>
      <c r="G146" s="15"/>
    </row>
    <row r="147" spans="1:7" x14ac:dyDescent="0.25">
      <c r="A147" s="15"/>
      <c r="B147" s="15"/>
      <c r="C147" s="15"/>
      <c r="E147" s="13"/>
      <c r="F147" s="14"/>
      <c r="G147" s="15"/>
    </row>
    <row r="148" spans="1:7" x14ac:dyDescent="0.25">
      <c r="A148" s="15"/>
      <c r="B148" s="15"/>
      <c r="C148" s="15"/>
      <c r="E148" s="13"/>
      <c r="F148" s="14"/>
      <c r="G148" s="15"/>
    </row>
    <row r="149" spans="1:7" x14ac:dyDescent="0.25">
      <c r="A149" s="15"/>
      <c r="B149" s="15"/>
      <c r="C149" s="15"/>
      <c r="E149" s="13"/>
      <c r="F149" s="14"/>
      <c r="G149" s="15"/>
    </row>
    <row r="150" spans="1:7" x14ac:dyDescent="0.25">
      <c r="A150" s="15"/>
      <c r="B150" s="15"/>
      <c r="C150" s="15"/>
      <c r="E150" s="13"/>
      <c r="F150" s="14"/>
      <c r="G150" s="15"/>
    </row>
    <row r="151" spans="1:7" x14ac:dyDescent="0.25">
      <c r="A151" s="15"/>
      <c r="B151" s="15"/>
      <c r="C151" s="15"/>
      <c r="E151" s="13"/>
      <c r="F151" s="14"/>
      <c r="G151" s="15"/>
    </row>
    <row r="152" spans="1:7" x14ac:dyDescent="0.25">
      <c r="A152" s="15"/>
      <c r="B152" s="15"/>
      <c r="C152" s="15"/>
      <c r="E152" s="13"/>
      <c r="F152" s="14"/>
      <c r="G152" s="15"/>
    </row>
    <row r="153" spans="1:7" x14ac:dyDescent="0.25">
      <c r="A153" s="15"/>
      <c r="B153" s="15"/>
      <c r="C153" s="15"/>
      <c r="E153" s="13"/>
      <c r="F153" s="14"/>
      <c r="G153" s="15"/>
    </row>
    <row r="154" spans="1:7" x14ac:dyDescent="0.25">
      <c r="A154" s="15"/>
      <c r="B154" s="15"/>
      <c r="C154" s="15"/>
      <c r="E154" s="13"/>
      <c r="F154" s="14"/>
      <c r="G154" s="15"/>
    </row>
    <row r="155" spans="1:7" x14ac:dyDescent="0.25">
      <c r="A155" s="15"/>
      <c r="B155" s="15"/>
      <c r="C155" s="15"/>
      <c r="E155" s="13"/>
      <c r="F155" s="14"/>
      <c r="G155" s="15"/>
    </row>
    <row r="156" spans="1:7" x14ac:dyDescent="0.25">
      <c r="A156" s="15"/>
      <c r="B156" s="15"/>
      <c r="C156" s="15"/>
      <c r="E156" s="13"/>
      <c r="F156" s="14"/>
      <c r="G156" s="15"/>
    </row>
    <row r="157" spans="1:7" x14ac:dyDescent="0.25">
      <c r="A157" s="15"/>
      <c r="B157" s="15"/>
      <c r="C157" s="15"/>
      <c r="E157" s="13"/>
      <c r="F157" s="14"/>
      <c r="G157" s="15"/>
    </row>
    <row r="158" spans="1:7" x14ac:dyDescent="0.25">
      <c r="A158" s="15"/>
      <c r="B158" s="15"/>
      <c r="C158" s="15"/>
      <c r="E158" s="13"/>
      <c r="F158" s="14"/>
      <c r="G158" s="15"/>
    </row>
    <row r="159" spans="1:7" x14ac:dyDescent="0.25">
      <c r="A159" s="15"/>
      <c r="B159" s="15"/>
      <c r="C159" s="15"/>
      <c r="E159" s="13"/>
      <c r="F159" s="14"/>
      <c r="G159" s="15"/>
    </row>
    <row r="160" spans="1:7" x14ac:dyDescent="0.25">
      <c r="A160" s="15"/>
      <c r="B160" s="15"/>
      <c r="C160" s="15"/>
      <c r="E160" s="13"/>
      <c r="F160" s="14"/>
      <c r="G160" s="15"/>
    </row>
    <row r="161" spans="1:7" x14ac:dyDescent="0.25">
      <c r="A161" s="15"/>
      <c r="B161" s="15"/>
      <c r="C161" s="15"/>
      <c r="E161" s="13"/>
      <c r="F161" s="14"/>
      <c r="G161" s="15"/>
    </row>
    <row r="162" spans="1:7" x14ac:dyDescent="0.25">
      <c r="A162" s="15"/>
      <c r="B162" s="15"/>
      <c r="C162" s="15"/>
      <c r="E162" s="13"/>
      <c r="F162" s="14"/>
      <c r="G162" s="15"/>
    </row>
    <row r="163" spans="1:7" x14ac:dyDescent="0.25">
      <c r="A163" s="15"/>
      <c r="B163" s="15"/>
      <c r="C163" s="15"/>
      <c r="E163" s="13"/>
      <c r="F163" s="14"/>
      <c r="G163" s="15"/>
    </row>
    <row r="164" spans="1:7" x14ac:dyDescent="0.25">
      <c r="A164" s="15"/>
      <c r="B164" s="15"/>
      <c r="C164" s="15"/>
      <c r="E164" s="13"/>
      <c r="F164" s="14"/>
      <c r="G164" s="15"/>
    </row>
    <row r="165" spans="1:7" x14ac:dyDescent="0.25">
      <c r="A165" s="15"/>
      <c r="B165" s="15"/>
      <c r="C165" s="15"/>
      <c r="E165" s="13"/>
      <c r="F165" s="14"/>
      <c r="G165" s="15"/>
    </row>
    <row r="166" spans="1:7" x14ac:dyDescent="0.25">
      <c r="A166" s="15"/>
      <c r="B166" s="15"/>
      <c r="C166" s="15"/>
      <c r="E166" s="13"/>
      <c r="F166" s="14"/>
      <c r="G166" s="15"/>
    </row>
    <row r="167" spans="1:7" x14ac:dyDescent="0.25">
      <c r="A167" s="15"/>
      <c r="B167" s="15"/>
      <c r="C167" s="15"/>
      <c r="E167" s="13"/>
      <c r="F167" s="14"/>
      <c r="G167" s="15"/>
    </row>
    <row r="168" spans="1:7" x14ac:dyDescent="0.25">
      <c r="A168" s="15"/>
      <c r="B168" s="15"/>
      <c r="C168" s="15"/>
      <c r="E168" s="13"/>
      <c r="F168" s="14"/>
      <c r="G168" s="15"/>
    </row>
    <row r="169" spans="1:7" x14ac:dyDescent="0.25">
      <c r="A169" s="15"/>
      <c r="B169" s="15"/>
      <c r="C169" s="15"/>
      <c r="E169" s="13"/>
      <c r="F169" s="14"/>
      <c r="G169" s="15"/>
    </row>
    <row r="170" spans="1:7" x14ac:dyDescent="0.25">
      <c r="A170" s="15"/>
      <c r="B170" s="15"/>
      <c r="C170" s="15"/>
      <c r="E170" s="13"/>
      <c r="F170" s="14"/>
      <c r="G170" s="15"/>
    </row>
    <row r="171" spans="1:7" x14ac:dyDescent="0.25">
      <c r="A171" s="15"/>
      <c r="B171" s="15"/>
      <c r="C171" s="15"/>
      <c r="E171" s="13"/>
      <c r="F171" s="14"/>
      <c r="G171" s="15"/>
    </row>
    <row r="172" spans="1:7" x14ac:dyDescent="0.25">
      <c r="A172" s="15"/>
      <c r="B172" s="15"/>
      <c r="C172" s="15"/>
      <c r="E172" s="13"/>
      <c r="F172" s="14"/>
      <c r="G172" s="15"/>
    </row>
    <row r="173" spans="1:7" x14ac:dyDescent="0.25">
      <c r="A173" s="15"/>
      <c r="B173" s="15"/>
      <c r="C173" s="15"/>
      <c r="E173" s="13"/>
      <c r="F173" s="14"/>
      <c r="G173" s="15"/>
    </row>
    <row r="174" spans="1:7" x14ac:dyDescent="0.25">
      <c r="A174" s="15"/>
      <c r="B174" s="15"/>
      <c r="C174" s="15"/>
      <c r="E174" s="13"/>
      <c r="F174" s="14"/>
      <c r="G174" s="15"/>
    </row>
    <row r="175" spans="1:7" x14ac:dyDescent="0.25">
      <c r="A175" s="15"/>
      <c r="B175" s="15"/>
      <c r="C175" s="15"/>
      <c r="E175" s="13"/>
      <c r="F175" s="14"/>
      <c r="G175" s="15"/>
    </row>
    <row r="176" spans="1:7" x14ac:dyDescent="0.25">
      <c r="A176" s="15"/>
      <c r="B176" s="15"/>
      <c r="C176" s="15"/>
      <c r="E176" s="13"/>
      <c r="F176" s="14"/>
      <c r="G176" s="15"/>
    </row>
    <row r="177" spans="1:7" x14ac:dyDescent="0.25">
      <c r="A177" s="15"/>
      <c r="B177" s="15"/>
      <c r="C177" s="15"/>
      <c r="E177" s="13"/>
      <c r="F177" s="14"/>
      <c r="G177" s="15"/>
    </row>
    <row r="178" spans="1:7" x14ac:dyDescent="0.25">
      <c r="A178" s="15"/>
      <c r="B178" s="15"/>
      <c r="C178" s="15"/>
      <c r="E178" s="13"/>
      <c r="F178" s="14"/>
      <c r="G178" s="15"/>
    </row>
    <row r="179" spans="1:7" x14ac:dyDescent="0.25">
      <c r="A179" s="15"/>
      <c r="B179" s="15"/>
      <c r="C179" s="15"/>
      <c r="E179" s="13"/>
      <c r="F179" s="14"/>
      <c r="G179" s="15"/>
    </row>
    <row r="180" spans="1:7" x14ac:dyDescent="0.25">
      <c r="A180" s="15"/>
      <c r="B180" s="15"/>
      <c r="C180" s="15"/>
      <c r="E180" s="13"/>
      <c r="F180" s="14"/>
      <c r="G180" s="15"/>
    </row>
    <row r="181" spans="1:7" x14ac:dyDescent="0.25">
      <c r="A181" s="15"/>
      <c r="B181" s="15"/>
      <c r="C181" s="15"/>
      <c r="E181" s="13"/>
      <c r="F181" s="14"/>
      <c r="G181" s="15"/>
    </row>
    <row r="182" spans="1:7" x14ac:dyDescent="0.25">
      <c r="A182" s="15"/>
      <c r="B182" s="15"/>
      <c r="C182" s="15"/>
      <c r="E182" s="13"/>
      <c r="F182" s="14"/>
      <c r="G182" s="15"/>
    </row>
    <row r="183" spans="1:7" x14ac:dyDescent="0.25">
      <c r="A183" s="15"/>
      <c r="B183" s="15"/>
      <c r="C183" s="15"/>
      <c r="E183" s="13"/>
      <c r="F183" s="14"/>
      <c r="G183" s="15"/>
    </row>
    <row r="184" spans="1:7" x14ac:dyDescent="0.25">
      <c r="A184" s="15"/>
      <c r="B184" s="15"/>
      <c r="C184" s="15"/>
      <c r="E184" s="13"/>
      <c r="F184" s="14"/>
      <c r="G184" s="15"/>
    </row>
    <row r="185" spans="1:7" x14ac:dyDescent="0.25">
      <c r="A185" s="15"/>
      <c r="B185" s="15"/>
      <c r="C185" s="15"/>
      <c r="E185" s="13"/>
      <c r="F185" s="14"/>
      <c r="G185" s="15"/>
    </row>
    <row r="186" spans="1:7" x14ac:dyDescent="0.25">
      <c r="A186" s="15"/>
      <c r="B186" s="15"/>
      <c r="C186" s="15"/>
      <c r="E186" s="13"/>
      <c r="F186" s="14"/>
      <c r="G186" s="15"/>
    </row>
    <row r="187" spans="1:7" x14ac:dyDescent="0.25">
      <c r="A187" s="15"/>
      <c r="B187" s="15"/>
      <c r="C187" s="15"/>
      <c r="E187" s="13"/>
      <c r="F187" s="14"/>
      <c r="G187" s="15"/>
    </row>
    <row r="188" spans="1:7" x14ac:dyDescent="0.25">
      <c r="A188" s="15"/>
      <c r="B188" s="15"/>
      <c r="C188" s="15"/>
      <c r="E188" s="13"/>
      <c r="F188" s="14"/>
      <c r="G188" s="15"/>
    </row>
    <row r="189" spans="1:7" x14ac:dyDescent="0.25">
      <c r="A189" s="15"/>
      <c r="B189" s="15"/>
      <c r="C189" s="15"/>
      <c r="E189" s="13"/>
      <c r="F189" s="14"/>
      <c r="G189" s="15"/>
    </row>
    <row r="190" spans="1:7" x14ac:dyDescent="0.25">
      <c r="A190" s="15"/>
      <c r="B190" s="15"/>
      <c r="C190" s="15"/>
      <c r="E190" s="13"/>
      <c r="F190" s="14"/>
      <c r="G190" s="15"/>
    </row>
    <row r="191" spans="1:7" x14ac:dyDescent="0.25">
      <c r="A191" s="15"/>
      <c r="B191" s="15"/>
      <c r="C191" s="15"/>
      <c r="E191" s="13"/>
      <c r="F191" s="14"/>
      <c r="G191" s="15"/>
    </row>
    <row r="192" spans="1:7" x14ac:dyDescent="0.25">
      <c r="A192" s="15"/>
      <c r="B192" s="15"/>
      <c r="C192" s="15"/>
      <c r="E192" s="13"/>
      <c r="F192" s="14"/>
      <c r="G192" s="15"/>
    </row>
    <row r="193" spans="1:7" x14ac:dyDescent="0.25">
      <c r="A193" s="15"/>
      <c r="B193" s="15"/>
      <c r="C193" s="15"/>
      <c r="E193" s="13"/>
      <c r="F193" s="14"/>
      <c r="G193" s="15"/>
    </row>
    <row r="194" spans="1:7" x14ac:dyDescent="0.25">
      <c r="A194" s="15"/>
      <c r="B194" s="15"/>
      <c r="C194" s="15"/>
      <c r="E194" s="13"/>
      <c r="F194" s="14"/>
      <c r="G194" s="15"/>
    </row>
    <row r="195" spans="1:7" x14ac:dyDescent="0.25">
      <c r="A195" s="15"/>
      <c r="B195" s="15"/>
      <c r="C195" s="15"/>
      <c r="E195" s="13"/>
      <c r="F195" s="14"/>
      <c r="G195" s="15"/>
    </row>
    <row r="196" spans="1:7" x14ac:dyDescent="0.25">
      <c r="A196" s="15"/>
      <c r="B196" s="15"/>
      <c r="C196" s="15"/>
      <c r="E196" s="13"/>
      <c r="F196" s="14"/>
      <c r="G196" s="15"/>
    </row>
    <row r="197" spans="1:7" x14ac:dyDescent="0.25">
      <c r="A197" s="15"/>
      <c r="B197" s="15"/>
      <c r="C197" s="15"/>
      <c r="E197" s="13"/>
      <c r="F197" s="14"/>
      <c r="G197" s="15"/>
    </row>
    <row r="198" spans="1:7" x14ac:dyDescent="0.25">
      <c r="A198" s="15"/>
      <c r="B198" s="15"/>
      <c r="C198" s="15"/>
      <c r="E198" s="13"/>
      <c r="F198" s="14"/>
      <c r="G198" s="15"/>
    </row>
    <row r="199" spans="1:7" x14ac:dyDescent="0.25">
      <c r="A199" s="15"/>
      <c r="B199" s="15"/>
      <c r="C199" s="15"/>
      <c r="E199" s="13"/>
      <c r="F199" s="14"/>
      <c r="G199" s="15"/>
    </row>
    <row r="200" spans="1:7" x14ac:dyDescent="0.25">
      <c r="A200" s="15"/>
      <c r="B200" s="15"/>
      <c r="C200" s="15"/>
      <c r="E200" s="13"/>
      <c r="F200" s="14"/>
      <c r="G200" s="15"/>
    </row>
    <row r="201" spans="1:7" x14ac:dyDescent="0.25">
      <c r="A201" s="15"/>
      <c r="B201" s="15"/>
      <c r="C201" s="15"/>
      <c r="E201" s="13"/>
      <c r="F201" s="14"/>
      <c r="G201" s="15"/>
    </row>
    <row r="202" spans="1:7" x14ac:dyDescent="0.25">
      <c r="A202" s="15"/>
      <c r="B202" s="15"/>
      <c r="C202" s="15"/>
      <c r="E202" s="13"/>
      <c r="F202" s="14"/>
      <c r="G202" s="15"/>
    </row>
    <row r="203" spans="1:7" x14ac:dyDescent="0.25">
      <c r="A203" s="15"/>
      <c r="B203" s="15"/>
      <c r="C203" s="15"/>
      <c r="E203" s="13"/>
      <c r="F203" s="14"/>
      <c r="G203" s="15"/>
    </row>
    <row r="204" spans="1:7" x14ac:dyDescent="0.25">
      <c r="A204" s="15"/>
      <c r="B204" s="15"/>
      <c r="C204" s="15"/>
      <c r="E204" s="13"/>
      <c r="F204" s="14"/>
      <c r="G204" s="15"/>
    </row>
  </sheetData>
  <mergeCells count="1">
    <mergeCell ref="A1:Q1"/>
  </mergeCells>
  <dataValidations count="1">
    <dataValidation type="list" allowBlank="1" showInputMessage="1" showErrorMessage="1" sqref="D5:D204" xr:uid="{77DD8879-D937-48BB-A731-C7E153C8566F}">
      <formula1>"Sala de Mistura,FETTE 2090,FETTE 2,Mediseal,Blisterflex,Granulação"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00_Dashboard</vt:lpstr>
      <vt:lpstr>1_Planejamento</vt:lpstr>
      <vt:lpstr>02_Operacoes</vt:lpstr>
      <vt:lpstr>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jose Robson Lisboa</cp:lastModifiedBy>
  <dcterms:created xsi:type="dcterms:W3CDTF">2026-09-17T03:56:23Z</dcterms:created>
  <dcterms:modified xsi:type="dcterms:W3CDTF">2026-10-11T16:30:12Z</dcterms:modified>
</cp:coreProperties>
</file>